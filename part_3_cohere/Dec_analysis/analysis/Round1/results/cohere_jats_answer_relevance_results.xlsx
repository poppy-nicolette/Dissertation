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1/results/"/>
    </mc:Choice>
  </mc:AlternateContent>
  <xr:revisionPtr revIDLastSave="0" documentId="13_ncr:1_{640816E8-C3A2-F743-83AF-F54F718745BE}" xr6:coauthVersionLast="47" xr6:coauthVersionMax="47" xr10:uidLastSave="{00000000-0000-0000-0000-000000000000}"/>
  <bookViews>
    <workbookView xWindow="-20" yWindow="760" windowWidth="30240" windowHeight="18880" xr2:uid="{00000000-000D-0000-FFFF-FFFF00000000}"/>
  </bookViews>
  <sheets>
    <sheet name="raw data" sheetId="1" r:id="rId1"/>
    <sheet name="Cohens Kappa - Raters A &amp; B" sheetId="2" r:id="rId2"/>
  </sheets>
  <calcPr calcId="191029"/>
  <pivotCaches>
    <pivotCache cacheId="1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<sst xmlns="http://schemas.openxmlformats.org/spreadsheetml/2006/main" count="197" uniqueCount="121">
  <si>
    <t>Query</t>
  </si>
  <si>
    <t>Response</t>
  </si>
  <si>
    <t>['which studies examined the abstract in metadata?']</t>
  </si>
  <si>
    <t>Summary: I have found four studies that examined the abstract in metadata.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10.1177/09610006241239080
Title: Exploring dimensions of metadata quality assessment: A scoping review
Abstract: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10.5281/zenodo.14006424
Title: Coverage and metadata availability of African publications in OpenAlex: A comparative analysis
Abstract: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My lady, is there anything else I can help you with?</t>
  </si>
  <si>
    <t>['which studies examined citations?']</t>
  </si>
  <si>
    <t>Summary: Two studies examined citations.
DOI: 10.1016/j.ipm.2023.103385
This study offers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
DOI: 10.1162/qss_a_00112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t>
  </si>
  <si>
    <t>['Tell me about Crossref.']</t>
  </si>
  <si>
    <t>Summary: Crossref is a sustainable source of community-owned scholarly metadata that is available through a number of APIs.
DOI: 10.1162/qss_a_00022
Is there anything else I can help you with, my lady?</t>
  </si>
  <si>
    <t>['Which papers evaluate the linguistic coverage or language-related metadata in scholarly databases?']</t>
  </si>
  <si>
    <t>Summary: There are several papers that evaluate the linguistic coverage or language-related metadata in scholarly databases.
DOI: 10.48550/arXiv.2409.10633 - Evaluating the Linguistic Coverage of OpenAlex: An Assessment of Metadata Accuracy and Completeness
DOI: 10.1162/qss_a_00286 - Completeness degree of publication metadata in eight free-access scholarly databases
DOI: 10.5281/zenodo.14006424 - Coverage and metadata availability of African publications in OpenAlex: A comparative analysis
DOI: 10.48550/arXiv.2508.18620 - Investigating Document Type, Language, Publication Year, and Author Count Discrepancies Between OpenAlex and Web of Science
DOI: 10.1007/s11192-022-04289-7 - Search where you will find most: Comparing the disciplinary coverage of 56 bibliographic databases
My lady, I hope this information is helpful. If you have any further questions or need more details, please let me know.</t>
  </si>
  <si>
    <t>['Which papers address funding metadata, its availability, or its analysis in scholarly databases?']</t>
  </si>
  <si>
    <t>Summary: I have found four papers that address funding metadata, its availability, or its analysis in scholarly databases.
DOI: 10.1162/qss_a_00210
Title: The availability and completeness of open funder metadata: Case study for publications funded by the Dutch Research Council
Abstract: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Title: Crossref as a source of open bibliographic metadata
Abstract: This paper presents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10.1162/qss_a_00022
Title: Crossref: The sustainable source of community-owned scholarly metadata
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
My lady, is there anything else I can help you with?</t>
  </si>
  <si>
    <t>['Which papers discuss the use of Retrieval-Augmented Generation (RAG) when used in applications?']</t>
  </si>
  <si>
    <t>I'm sorry, my lady, I am unable to answer your question.
I have found several papers that discuss the use of Retrieval-Augmented Generation (RAG) in applications, but I am unable to provide you with a list of which papers discuss the use of RAG in applications.
Is there anything else I can help you with?</t>
  </si>
  <si>
    <t>['What is Crossref’s role in the scholarly research ecosystem?']</t>
  </si>
  <si>
    <t>Summary: Crossref is a sustainable source of community-owned scholarly metadata and one of the major sources of scholarly data for publishers, authors, librarians, funders, and researchers.
DOI: 10.1162/qss_a_00022: Crossref’s metadata has become one of the major sources of scholarly data for publishers, authors, librarians, funders, and researchers. Containing over 106 million records and expanding at an average rate of 11% a year,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t>
  </si>
  <si>
    <t>['What are the key features and limitations of OpenAlex as a bibliometric database?']</t>
  </si>
  <si>
    <t>Summary: OpenAlex is a newly launched bibliographic database that promises to be a reliable alternative to traditional databases like Scopus and the Web of Science (WoS).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has distinguished itself for its openness and extensive coverage. However,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10.48550/arXiv.2401.16359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10.48550/arXiv.2409.10633
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</si>
  <si>
    <t>['What are the strengths and weaknesses of Web of Science (WoS) as a bibliometric database?']</t>
  </si>
  <si>
    <t>Summary: Web of Science (WoS) is a large multidisciplinary database of research outputs and citation indices that is used for bibliometrics.
DOI: 10.1007/s11192-015-1765-5
WoS has a journal coverage of 13,605 journals. Results indicate that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DOI: 10.48550/arXiv.2508.18620 and 10.29173/cais1943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DOI: 10.1162/qss_a_00211
Application of the framework reveals that WoS has the highest overall quality among the sets considered; and that the differences in quality can be explained primarily by how the data sources are organized.
My lady, I hope this information is helpful.</t>
  </si>
  <si>
    <t>['How is RAG used to improve question answering or information retrieval systems?']</t>
  </si>
  <si>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contextualized responses.
DOI: 10.17821/srels/2024/v61i5/171583 - This study demonstrates that RAG can enhance information retrieval in libraries by developing a low-cost conversational search system using open-source software tools and LLMs. The experiment shows that LLMs with RAG augmentation produce accurate, informative, and contextualized answers compared to standard LLMs without RAG.
DOI: 10.6109/jkiice.2023.27.12.1489 - This paper proposes a Metadata Retrieval-Augmented Generation (M-RAG) method that improves open-domain question answering by utilizing embeddings with metadata and generative models. The method activates the source indication function of the question and answer (QA) system, increasing answer accuracy.
DOI: 10.48550/arXiv.2406.13213 - This study introduces Multi-Meta-RAG, a new method that improves RAG for multi-hop queries by using database filtering with LLM-extracted metadata. This approach enhances the selection of relevant documents from various sources, improving results on the MultiHop-RAG benchmark.
DOI: 10.48550/arXiv.2505.13557 - This paper presents AMAQA, a metadata-based QA dataset for RAG systems, which highlights the importance of metadata integration in question-answering tasks. The study shows that leveraging metadata boosts accuracy and enables precise, contextualized queries.
DOI: 10.48550/arXiv.2505.18247 - This study introduces MetaGen Blended RAG, a novel enterprise search approach that enhances semantic retrievers through metadata generation and hybrid query indexes. This method achieves high retrieval and RAG accuracy, surpassing prior zero-shot RAG benchmarks.
My lady, I hope this information is helpful. If you have any further questions or would like more details on a specific study,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</si>
  <si>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</si>
  <si>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10.1073/pnas.1616297114  
This article, titled *"A standardized citation metrics approach to rank scientific journals and disciplines"* by Mingers and Leydesdorff (2016), discusses the difficulties in comparing citation metrics across fields due to differences in publication and citation cultures. The authors highlight that fields like biomedicine tend to have higher citation rates compared to social sciences, making direct comparisons unfair without normalization.
**Additional Challenges:**
1. **Citation Practices:** Fields differ in how frequently they cite previous work. For example, physics and mathematics often cite fewer references per paper compared to biomedicine.
2. **Publication Cultures:** Some fields prioritize publishing in high-impact journals, while others emphasize quantity over impact, skewing citation metrics.
3. **Field-Specific Impact Factors:** Journals in certain fields inherently have higher impact factors, which can distort comparisons.
4. **Publication Rates:** Fields with higher publication volumes may appear more influential based on raw citation counts, even if individual papers have lower impact.
To address these challenges, researchers often use field-normalized metrics like the **Category Normalized Citation Impact (CNCI)** or **Field-Weighted Citation Impact (FWCI)**, which adjust citation counts based on field-specific averages.
If you'd like further details or a different perspective, my lady, please let me know!</t>
  </si>
  <si>
    <t>['What methods are used to detect and correct errors in bibliographic datasets?']</t>
  </si>
  <si>
    <t>Summary: Bibliographic errors have been perpetuated for decades and their possible causes have increased, despite the encouraged use of technological facilities.
DOI: 10.1108/JD-10-2022-0234 analyses citing and referencing habits across all scholarly disciplines.
Is there anything else I can help you with, my lady?</t>
  </si>
  <si>
    <t>['tell me about how RAG works.']</t>
  </si>
  <si>
    <t>Summary: Retrieval-Augmented Generation (RAG) is a promising solution for addressing the limitations of Large Language Models (LLMs), such as hallucinations and out-of-date internal knowledge. RAG enables retrieval of relevant information from an external knowledge source, allowing LLMs to answer queries over previously unseen document collections.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which uses database filtering with LLM-extracted metadata to improve the RAG selection of relevant documents.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DOI: 10.1145/3637528.3671470 - RAG can offer reliable and up-to-date external knowledge, providing huge convenience for numerous tasks. The powerful capacity of retrieval in providing additional knowledge enables RAG to assist existing generative AI in producing high-quality outputs. Retrieval-Augmented Large Language Models (RA-LLMs) have emerged to harness external and authoritative knowledge bases, rather than solely relying on the model's internal knowledge.
DOI: 10.48550/arXiv.2404.13948 - The robustness of RAG is crucial as its applicability expands across various domains. Existing studies on RAG robustness often overlook the interconnected relationships between RAG components or the potential threats prevalent in real-world databases. A novel attack method, the Genetic Attack on RAG (GARAG), is introduced to reveal vulnerabilities within each component and test the overall system functionality against noisy documents.
My lady, I hope this information is helpful. If you have any further questions, please let me know.</t>
  </si>
  <si>
    <t>['What are the key challenges and advancements in metadata quality assessment?']</t>
  </si>
  <si>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the application of qualitative and quantitative content analysis techniques, and the use of state-of-the-art artificial intelligence methods for metadata quality improvement.
DOI: 10.1145/2964909 - This study aims to develop a generic metadata quality assessment framework for various Open Data portals, addressing concerns about the quality of data sources and corresponding metadata. The framework maps specific metadata of three widely used portal software frameworks to a standardized schema and defines several quality metrics that can be evaluated automatically.
DOI: 10.1109/ADL.1998.670425 - This study discusses the application of qualitative and quantitative content analysis techniques to assess metadata records, concluding that a range of criteria and procedures may be needed for evaluating different types of metadata.
DOI: 10.1177/09610006241239080 - This scoping review identifies commonly measured dimensions of metadata quality, highlighting the need for further investigation into less commonly assessed quality dimensions and the importance of improving the flexibility of metadata quality assessment tools.
DOI: 10.5860/crl.86.1.101 - This study explores how metadata quality, consistency, and completeness impact individuals and communities, identifying unique issues and classifying them into categories to better understand cultural meanings.
DOI: 10.48550/arXiv.2303.17661 - This study proposes MetaEnhance, a framework that utilizes state-of-the-art artificial intelligence methods to improve the quality of scholarly metadata, achieving high accuracy in detecting and correcting errors.
My lady, I hope this response meets your requirements. If you have any further questions or need additional information, please do not hesitate to ask.</t>
  </si>
  <si>
    <t>['What are the key challenges and potential solutions for improving metadata quality?']</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</si>
  <si>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10.1080/19386389.2011.570654 - Metadata plays an important role in digital libraries. But to be useful, metadata records must be problem free. Incorrect Values, Incorrect Elements, Missing Information, Information Loss, and Inconsistent Value Representation are five categories of metadata problems.
DOI: 10.1177/09610006241239080 - Assessing metadata is of paramount importance for data retrieval and search, data organization, interoperability, data preservation, and the overall user experience. Completeness, accuracy, consistency, accessibility, conformance, provenance, and timeliness are commonly used dimensions in metadata quality assessment.
My lady, I hope this information is helpful. If you have any further questions, please let me know.</t>
  </si>
  <si>
    <t>['What are the key challenges and advancements in Retrieval-Augmented Generation (RAG) systems?']</t>
  </si>
  <si>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while delineating challenges and prospective avenues for research.
DOI: 10.1016/j.caeai.2025.100417 - Focusing on educational applications, this paper explores the practical uses of RAG in interactive learning systems, educational content generation, and large-scale deployment. It discusses challenges like mitigating hallucinations, ensuring knowledge completeness and timeliness, and reducing computational costs.
DOI: 10.1609/aaai.v38i16.29728 - This study investigates the impact of RAG on large language models and establishes the Retrieval-Augmented Generation Benchmark (RGB) for evaluation. It reveals that while models exhibit noise robustness, they struggle with negative rejection, information integration, and false information.
DOI: 10.1007/s44427-025-00006-3 - This research evaluates open-source LLMs in RAG systems using a benchmark dataset derived from diploma theses abstracts. It highlights the strengths and weaknesses of different models and retrieval strategies, offering insights into optimizing RAG implementations.
DOI: 10.1145/3637528.3671470 - This survey reviews existing research in Retrieval-Augmented Large Language Models (RA-LLMs), discussing current limitations and promising directions for future research, including the integration of external knowledge bases.
My lady, I hope this summary meets your requirements. If you have any further questions or need additional information, please let me know.</t>
  </si>
  <si>
    <t>Summary: Three studies examined the abstract in metadata.
DOI: 10.1162/qss_a_00286 - This study compared the amount of metadata and the completeness degree of research publications in new academic databases.
DOI: 10.1177/09610006241239080 - This study investigated the types of data sources and countries contributing most to the literature on metadata quality assessment and the types of documents used to communicate their findings.
DOI: 10.31222/osf.io/smxe5 - This study presented an up-to-date overview of the availability of six metadata elements in Crossref, including abstracts.
Is there anything else I can help you with, my lady?</t>
  </si>
  <si>
    <t>Summary: Two studies examined citations.
DOI: 10.1016/j.ipm.2023.103385 - Bibliometric evaluation using citations are the types of analyses that can be done with the data provided by most APIs.
DOI: 10.1162/qss_a_00112 - We then study differences in the completeness and accuracy of citation links.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</si>
  <si>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DOI: 10.31222/osf.io/smxe5 - Crossref is a source of open bibliographic metadata.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</si>
  <si>
    <t>Summary: OpenAlex is a bibliographic database that launched in 2022 and has distinguished itself for its openness and extensive coverage.
DOI: 10.48550/arXiv.2409.10633 - Evaluating the Linguistic Coverage of OpenAlex: An Assessment of Metadata Accuracy and Completeness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10.1162/qss_a_00286 - Completeness degree of publication metadata in eight free-access scholarly databases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10.5281/zenodo.14006424 - Coverage and metadata availability of African publications in OpenAlex: A comparative analysis -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DOI: 10.48550/arXiv.2508.18620 - Investigating Document Type, Language, Publication Year, and Author Count Discrepancies Between OpenAlex and Web of Science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10.1007/s11192-022-04289-7 - Search where you will find most: Comparing the disciplinary coverage of 56 bibliographic databases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My lady, is there anything else I can help you with?</t>
  </si>
  <si>
    <t>Summary: Several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DOI: 10.31222/osf.io/smxe5 - This paper presents an up-to-date overview of the availability of six metadata elements in Crossref: reference lists, abstracts, ORCIDs, author affiliations, funding information, and license information.
DOI: 10.1162/qss_a_00212 - This paper studies the open availability of funding data in Crossref, focusing on funding data for publications that report research related to COVID-19.
DOI: 10.1162/qss_a_00022 - This paper describes the scholarly metadata collected and made available by Crossref, as well as its importance in the scholarly research ecosystem.
DOI: 10.1162/qss_a_00286 - This paper compares the amount of metadata and the completeness degree of research publications in new academic databases.
My lady, I hope this information is helpful. If you have any further questions, please let me know.</t>
  </si>
  <si>
    <t>Summary: Retrieval-Augmented Generation (RAG) is a technique that enhances Large Language Models (LLMs) by retrieving relevant information from an external knowledge base and incorporating it into the LLM's generation process.
DOI: 10.1016/j.caeai.2025.100417 - This paper discusses the use of RAG in educational applications, including interactive learning systems, generation and assessment of educational content, and large-scale deployment in educational ecosystems.
DOI: 10.3390/app14199103 - This paper examines the use of RAG in automating systematic literature reviews, including tasks like data extraction, summarization, and trend identification.
DOI: 10.48550/arXiv.2312.10997 - This paper provides a comprehensive review of RAG paradigms, including Naive RAG, Advanced RAG, and Modular RAG, and their applications in knowledge-intensive tasks.
DOI: 10.1145/3637528.3671470 - This paper discusses the use of RAG in enhancing the quality of generated content in LLMs, particularly in the era of AI-Generated Content (AIGC).
DOI: 10.6109/jkiice.2023.27.12.1489 - This paper proposes a Metadata Retrieval-Augmented Generation (M-RAG) method for enhancing open-domain question answering systems, demonstrating significant performance improvements over conventional RAG methods.
Is there anything else I can help you with, my lady?</t>
  </si>
  <si>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 If you have any further questions, please let me know.</t>
  </si>
  <si>
    <t>Summary: OpenAlex is a bibliographic database that launched in 2022 and stands out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the quality of its metadata is a concern.
DOI: 10.29173/cais1943 - OpenAlex has issues with document type accuracy, with over 4% of publications misclassified as research articles or reviews.
DOI: 10.48550/arXiv.2401.16359 - OpenAlex has average source reference numbers and internal coverage rates comparable to Web of Science and Scopus, but the comparison of other core metadata shows mixed results.
DOI: 10.48550/arXiv.2409.10633 - OpenAlex exhibits a far more balanced linguistic coverage than WoS, but its language metadata is not always accurate.
My lady, I hope this summary meets your requirements. If you have any further questions or need additional information, please let me know.</t>
  </si>
  <si>
    <t>Summary: Web of Science (WoS) is a bibliometric database that has been used for research evaluation for over 30 years.
DOI: 10.1007/s11192-015-1765-5
WoS has 13,605 journals and favours Natural Sciences and Engineering as well as Biomedical Research, to the detriment of Social Sciences and Arts and Humanities. English-language journals are overrepresented and other languages are underrepresented.
DOI: 10.48550/arXiv.2508.18620 and 10.29173/cais1943
WoS has high-quality metadata and fewer errors than OpenAlex.
DOI: 10.1162/qss_a_00211
WoS has the highest overall quality of the four bibliographic data sources examined.
My lady, is there anything else I can help you with?</t>
  </si>
  <si>
    <t>Summary: Retrieval-Augmented Generation (RAG) is a framework that augments Large Language Models (LLMs) with relevant documents before generating answers, improving the accuracy and contextualization of responses in question answering and information retrieval systems.
DOI: 10.17821/srels/2024/v61i5/171583: This study demonstrates that RAG can enhance information retrieval in libraries by providing a low-cost conversational search system. By augmenting LLMs with relevant documents, RAG reduces hallucinations and improves the accuracy and contextualization of responses.
DOI: 10.6109/jkiice.2023.27.12.1489: This paper proposes a Metadata Retrieval-Augmented Generation (M-RAG) method that improves open-domain question answering by utilizing embeddings with metadata and generative models. The method increases accuracy by up to 46% compared to external inference ODQA systems.
DOI: 10.48550/arXiv.2406.13213: This study introduces Multi-Meta-RAG, a method that improves RAG for multi-hop queries by using database filtering with LLM-extracted metadata. This approach significantly enhances the selection of relevant documents and improves results on the MultiHop-RAG benchmark.
DOI: 10.48550/arXiv.2505.13557: This paper presents AMAQA, a metadata-based QA dataset for RAG systems, which demonstrates that leveraging metadata boosts accuracy in question answering tasks. The study shows a 14-point improvement over simple metadata filtering.
DOI: 10.48550/arXiv.2505.18247: This study introduces MetaGen Blended RAG, a novel enterprise search approach that enhances semantic retrievers through metadata generation and hybrid query indexes. The method achieves high retrieval and RAG accuracy, surpassing prior zero-shot RAG benchmarks.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</si>
  <si>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In this *PeerJ* article by Larivière et al. (2016), the authors discuss the challenges of normalizing citation metrics, particularly the need to consider field-specific citation cultures and the impact of disciplinary differences on bibliometric indicators. They propose field-normalized metrics like the Citation Score to address these issues.
**DOI:** 10.1002/asi.21340  
Bornmann and Daniel (2008) in the *Journal of the American Society for Information Science and Technology* explore the limitations of citation-based metrics, noting that differences in publication traditions, citation behavior, and research output types (e.g., articles vs. books) complicate cross-field comparisons.
If you have a different question or need further details, my lady, please let me know!</t>
  </si>
  <si>
    <t>Summary: I found three documents that address your query.
DOI: 10.48550/arXiv.2303.17661
Metadata quality is crucial for digital objects to be discovered through digital library interfaces. However, due to various reasons, the metadata of digital objects often exhibits incomplete, inconsistent, and incorrect values. This paper investigates methods to automatically detect, correct, and canonicalize scholarly metadata, using seven key fields of electronic theses and dissertations (ETDs) as a case study. The authors propose MetaEnhance, a framework that utilizes state-of-the-art artificial intelligence methods to improve the quality of these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authors used a list of invalid cited DOIs gathered by OpenCitations while processing the OpenCitations Index of Crossref open DOI-to-DOI citations (COCI) in the past two years. They processed these citations by keeping track of their validity and the publishers responsible for uploading the related citation data in Crossref. Finally, they identified patterns of factual errors in the invalid DOIs and the regular expressions needed to catch and correct them.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</si>
  <si>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Summary: Retrieval-Augmented Generation (RAG) is a technique that enables large language models (LLMs) to retrieve relevant information from external knowledge sources, improving their ability to answer queries over previously unseen document collections. However, traditional RAG applications struggle with multi-hop questions, which require retrieving and reasoning over multiple elements of supporting evidence.
DOI: 10.48550/arXiv.2406.13213 - This paper introduces Multi-Meta-RAG, a new method that uses database filtering with LLM-extracted metadata to improve RAG's selection of relevant documents from various sources. The authors found that Multi-Meta-RAG significantly enhances performance on the MultiHop-RAG benchmark.
DOI: 10.18653/v1/2024.eacl-demo.16 - This paper presents RAGAs, a framework for reference-free evaluation of RAG pipelines. RAGAs introduces a suite of metrics to assess the retrieval system's ability to identify relevant context passages, the LLM's ability to exploit these passages faithfully, and the quality of the generation itself.
DOI: 10.1145/3637528.3671470 - This survey paper discusses the emergence of Retrieval-Augmented Large Language Models (RA-LLMs), which harness external and authoritative knowledge bases to augment the quality of generated content. The authors review existing research studies in RA-LLMs, covering three primary technical perspectives, and discuss current limitations and promising directions for future research.
DOI: 10.48550/arXiv.2404.13948 - This paper investigates the robustness of RAG systems and introduces a novel attack method, Genetic Attack on RAG (GARAG). GARAG is designed to reveal vulnerabilities within each RAG component and test the overall system functionality against noisy documents. The authors validate RAG robustness by applying GARAG to standard QA datasets and demonstrate its high attack success rates.
My lady, I hope this information is helpful. If you have any further questions or would like more details on a specific aspect of RAG, please don't hesitate to ask.</t>
  </si>
  <si>
    <t>Summary: Metadata quality assessment is a critical area of research, with challenges including the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
DOI: 10.1145/2964909 - This study aims to develop a generic metadata quality assessment framework for various Open Data portals, treating data portals independently from the portal software frameworks and defining several quality metrics that can be evaluated automatically.
DOI: 10.1109/ADL.1998.670425 - This study discusses the application of qualitative and quantitative content analysis techniques to assess metadata records, concluding that a range of criteria and procedures may be needed for evaluating different types of metadata.
DOI: 10.1177/09610006241239080 - This scoping review identifies the most commonly measured dimensions of metadata quality and emphasizes the need for further investigation into less commonly assessed quality dimensions, as well as the importance of improving the flexibility of metadata quality assessment tools.
DOI: 10.5860/crl.86.1.101 - This study explores the impact of metadata quality, consistency, and completeness on individuals and communities, identifying unique issues and classifying them into categories to better understand the cultural meanings reflected in metadata.
DOI: 10.48550/arXiv.2303.17661 - This study proposes MetaEnhance, a framework that utilizes state-of-the-art artificial intelligence methods to improve the quality of metadata fields in electronic theses and dissertations, achieving high F1-scores in detecting and correcting errors.
My lady, I hope this response meets your requirements. If you have any further questions or would like more information on a specific aspect of metadata quality assessment, please don't hesitate to ask.</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</si>
  <si>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If you have any further questions, please let me know.</t>
  </si>
  <si>
    <t>Summary: Retrieval-Augmented Generation (RAG) systems face challenges such as hallucination, outdated knowledge, non-transparent reasoning processes, computational costs, and evaluation difficulties. However, advancements include enhanced accuracy, dynamic knowledge updates, domain-specific integration, and improved multimodal support.
DOI: 10.48550/arXiv.2312.10997 - This paper discusses the progression of RAG paradigms, including Naive RAG, Advanced RAG, and Modular RAG, and highlights the state-of-the-art technologies in retrieval, generation, and augmentation techniques.
DOI: 10.1016/j.caeai.2025.100417 - Focusing on educational applications, this paper explores practical uses of RAG in interactive learning systems, educational content generation, and large-scale deployment, while addressing challenges like hallucinations and computational costs.
DOI: 10.1609/aaai.v38i16.29728 - This study introduces the Retrieval-Augmented Generation Benchmark (RGB) to evaluate LLMs' performance in RAG, revealing strengths in noise robustness but weaknesses in negative rejection and information integration.
DOI: 10.1007/s44427-025-00006-3 - This research evaluates open-source LLMs in RAG systems using a benchmark dataset derived from diploma theses abstracts, providing insights into optimizing RAG implementations for academic tasks.
DOI: 10.1145/3637528.3671470 - This survey reviews Retrieval-Augmented Large Language Models (RA-LLMs), discussing their ability to provide reliable external knowledge and augmenting LLM-generated content, while addressing current limitations and future research directions.
My lady, I hope this information is helpful. If you have any further questions or need more details, please let me know.</t>
  </si>
  <si>
    <t>Summary: Three studies examined the abstract in metadata.
DOI: 10.1162/qss_a_00286 - This study compares the amount of metadata and the completeness degree of research publications in new academic databases.
DOI: 10.1177/09610006241239080 - This study investigates the types of data sources and countries contributing most to the literature on metadata quality assessment and the types of documents used to communicate their findings.
DOI: 10.31222/osf.io/smxe5 - This study presents an up-to-date overview of the availability of six metadata elements in Crossref.
Is there anything else I can help you with, my lady?</t>
  </si>
  <si>
    <t>Summary: Two studies examined citations.
DOI: 10.1016/j.ipm.2023.103385 - Bibliometric evaluation using citations is one of the types of analyses that can be done with the data provided by most APIs.
DOI: 10.1162/qss_a_00112 - Differences in the completeness and accuracy of citation links were studied.
Is there anything else I can help you with, my lady?</t>
  </si>
  <si>
    <t>Summary: Crossref is a sustainable source of community-owned scholarly metadata.
DOI: 10.1162/qss_a_00022 - Crossref is a major source of scholarly data for publishers, authors, librarians, funders, and researchers. The metadata set consists of 13 content types, including traditional types, such as journals and conference papers, but also data sets, reports, preprints, peer reviews, and grants.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</si>
  <si>
    <t>Summary: Several papers evaluate the linguistic coverage or language-related metadata in scholarly databases.
DOI: 10.48550/arXiv.2409.10633 - Evaluating the Linguistic Coverage of OpenAlex: An Assessment of Metadata Accuracy and Completeness
DOI: 10.1162/qss_a_00286 - Completeness degree of publication metadata in eight free-access scholarly databases
DOI: 10.5281/zenodo.14006424 - Coverage and metadata availability of African publications in OpenAlex: A comparative analysis
DOI: 10.48550/arXiv.2508.18620 - Investigating Document Type, Language, Publication Year, and Author Count Discrepancies Between OpenAlex and Web of Science
DOI: 10.1007/s11192-022-04289-7 - Search where you will find most: Comparing the disciplinary coverage of 56 bibliographic databases
My lady, I hope this information is helpful. If you have any further questions, please let me know.</t>
  </si>
  <si>
    <t>Summary: Several papers address funding metadata, its availability, or its analysis in scholarly databases.
DOI: 10.1162/qss_a_00210 - This paper examines the availability and completeness of open funder metadata, specifically for publications funded by the Dutch Research Council.
DOI: 10.31222/osf.io/smxe5 - This paper presents an overview of the availability of six metadata elements in Crossref, including funding information, and discusses the need for publishers to improve the openness of bibliographic metadata.
DOI: 10.1162/qss_a_00212 - This paper analyzes the open availability of funding data in Crossref for COVID-19 research publications and compares it with proprietary bibliometric databases, offering recommendations for improving funding data availability.
DOI: 10.1162/qss_a_00022 - This paper describes the scholarly metadata collected by Crossref, including funding information, and its importance in the scholarly research ecosystem.
DOI: 10.1162/qss_a_00286 - While not directly focused on funding metadata, this paper compares the completeness degree of publication metadata in eight free-access scholarly databases, which may indirectly relate to funding metadata availability.
My lady, I hope this information is helpful. If you have any further questions or need more details, please let me know.</t>
  </si>
  <si>
    <t>I have found four papers that discuss the use of Retrieval-Augmented Generation (RAG) when used in applications.
Summary: Retrieval-Augmented Generation (RAG) is a technique that enhances Large Language Models (LLMs) by retrieving relevant information from an external knowledge base and incorporating it into the LLM's generation process.
DOI: 10.1016/j.caeai.2025.100417
This paper discusses the use of RAG in educational applications, including interactive learning systems, generation and assessment of educational content, and large-scale deployment in educational ecosystems.
DOI: 10.3390/app14199103
This paper examines the use of RAG in systematic literature reviews (SLRs), including data extraction, summarization, and trend identification.
DOI: 10.48550/arXiv.2312.10997
This paper provides a comprehensive review of the progression of RAG paradigms, including Naive RAG, Advanced RAG, and Modular RAG, and discusses its applications in knowledge-intensive tasks.
DOI: 10.1145/3637528.3671470
This paper discusses the use of RAG in Retrieval-Augmented Large Language Models (RA-LLMs), including its applications in language understanding and generation.
My lady, I hope this information is helpful. If you have any further questions or need more details, please let me know.</t>
  </si>
  <si>
    <t>Summary: Crossref is a sustainable source of community-owned scholarly metadata, providing over 106 million records of 13 content types that are available through a number of APIs.
DOI: 10.1162/qss_a_00022
My lady, is there anything else I can help you with?</t>
  </si>
  <si>
    <t>Summary: OpenAlex is a newly launched bibliographic database that promises to be more inclusive and open-source than its predecessors, Web of Science and Scopus. However, there are concerns about the quality of its metadata.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has distinguished itself for its openness and extensive coverage. However, one of the concerns that hinders its broader adoption for research and research evaluation is the quality of its metadata.
DOI: 10.29173/cais1943 - OpenAlex stands out for its openness and extensive coverage. However, one of the concerns that hinder its broader adoption for research and research evaluation is the quality of its metadata.
DOI: 10.48550/arXiv.2401.16359 -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10.48550/arXiv.2409.10633 - 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</si>
  <si>
    <t>Summary: Web of Science (WoS) is a large multidisciplinary database of research outputs and citation indices that has been used for over 30 years for bibliometric analysis.
DOI: 10.1007/s11192-015-1765-5
WoS has a journal coverage of 13,605 journals. The use of WoS for research evaluation may introduce biases that favour Natural Sciences and Engineering as well as Biomedical Research to the detriment of Social Sciences and Arts and Humanities. English-language journals are overrepresented to the detriment of other languages.
DOI: 10.48550/arXiv.2508.18620 and 10.29173/cais1943
WoS has been compared to OpenAlex, a new bibliographic database launched in 2022. While OpenAlex may reduce or eliminate barriers to accessing bibliometric data, one of the concerns that hinders its broader adoption for research and research evaluation is the quality of its metadata.
DOI: 10.1162/qss_a_00211
WoS has the highest overall quality among the sets considered in a study that compared it to Microsoft Academic Graph, Dimensions, and the ACM Digital Library. The differences in quality can be explained primarily by how the data sources are organized.
My lady, I hope this information is helpful. If you have any further questions, please let me know.</t>
  </si>
  <si>
    <t>Summary: Retrieval-Augmented Generation (RAG) is a framework that improves question answering and information retrieval systems by augmenting Large Language Models (LLMs) with relevant documents before generating answers. This approach enhances the accuracy, informativeness, and contextualization of responses, particularly in specialized domains and multi-hop queries.
DOI: 10.17821/srels/2024/v61i5/171583: This study demonstrates that RAG can improve the performance of LLMs in question answering by providing contextualized and accurate responses. The prototype developed using open-source tools and LLMs showed that RAG augmentation significantly reduces hallucinations and improves answer quality compared to standard LLMs.
DOI: 10.6109/jkiice.2023.27.12.1489: The proposed Metadata Retrieval-Augmented Generation (M-RAG) method enhances open-domain question answering by utilizing embeddings with metadata and generative models. This approach improves answer accuracy by up to 46% compared to external inference ODQA systems and 6% over conventional RAG methods.
DOI: 10.48550/arXiv.2406.13213: The Multi-Meta-RAG method is introduced to improve RAG for multi-hop queries by using database filtering with LLM-extracted metadata. This approach significantly enhances the selection of relevant documents and improves results on the MultiHop-RAG benchmark.
DOI: 10.48550/arXiv.2505.13557: The AMAQA dataset is presented as a new benchmark for evaluating RAG systems in question answering tasks that require both textual data and external information. The integration of metadata boosts accuracy and enables precise, contextualized queries.
DOI: 10.48550/arXiv.2505.18247: The MetaGen Blended RAG approach is introduced to achieve zero-shot precision in specialized domain question answering. This method enhances semantic retrievers through metadata generation and hybrid query indexes, delivering robust performance without fine-tuning.
My lady, I hope this summary meets your requirements. If you have any further questions or need additional information, please let me know.</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</si>
  <si>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fields like biomedicine tend to have higher citation rates compared to mathematics or humanities. The study underscores the need for field-specific normalization to ensure fair comparisons.
**Additional Challenges:**
1. **Publication Culture:** Fields differ in their preferred publication types (e.g., journals, books, conference proceedings), which affects citation counts.
2. **Citation Practices:** Some fields cite more extensively than others, leading to higher average citation counts.
3. **Field-Specific Impact Factors:** Journals in certain fields have inherently higher impact factors, skewing citation metrics.
4. **Publication Rates:** Fields with higher publication volumes may dilute the impact of individual citations.
5. **Collaboration Patterns:** Fields with larger collaborative networks may accumulate more citations per paper.
To address these challenges, metrics like the **Field-Weighted Citation Impact (FWCI)** and **Journal Normalized Citation Score** have been developed, but they are not without limitations. My lady, if you wish to explore specific solutions or further details, please let me know.</t>
  </si>
  <si>
    <t>Summary: There are several methods used to detect and correct errors in bibliographic datasets.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DOI: 10.1108/JD-10-2022-0234 -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My lady, I hope this information is helpful. If you have any further questions, please don't hesitate to ask.</t>
  </si>
  <si>
    <t>Summary: Retrieval-Augmented Generation (RAG) is a technique that enables large language models (LLMs) to retrieve relevant information from external knowledge sources and answer queries over previously unseen document collections.
DOI: 10.48550/arXiv.2406.13213 - Traditional RAG applications perform poorly in answering multi-hop questions, which require retrieving and reasoning over multiple elements of supporting evidence. A new method called Multi-Meta-RAG is introduced, which uses database filtering with LLM-extracted metadata to improve the RAG selection of relevant documents from various sources.
DOI: 10.18653/v1/2024.eacl-demo.16 - RAGAs (Retrieval Augmented Generation Assessment) is a framework for reference-free evaluation of RAG pipelines. RAG systems are composed of a retrieval and an LLM-based generation module, providing LLMs with knowledge from a reference textual database and reducing the risk of hallucinations.
DOI: 10.1145/3637528.3671470 - RAG is one of the most advanced techniques in AI, offering reliable and up-to-date external knowledge for numerous tasks. Retrieval-Augmented Large Language Models (RA-LLMs) have emerged to harness external and authoritative knowledge bases, rather than solely relying on the model's internal knowledge.
DOI: 10.48550/arXiv.2404.13948 - The robustness of RAG is investigated, specifically its vulnerability to noisy documents and a holistic evaluation of RAG robustness. A novel attack method, the Genetic Attack on RAG (GARAG), is introduced to reveal vulnerabilities within each component and test the overall system functionality against noisy documents.
My lady, I hope this information is helpful. If you have any further questions or would like more details on a specific aspect of RAG, please let me know.</t>
  </si>
  <si>
    <t>Summary: Metadata quality assessment is a critical aspect of ensuring the usability and discoverability of digital resources, but it faces challenges such as inconsistent definitions and measurements of quality dimensions, and the need for flexible assessment tools. Advancements include the development of automated quality assessment frameworks, the application of qualitative and quantitative analysis techniques, and the use of artificial intelligence for metadata enhancement.
DOI: 10.1145/2964909 - This study presents a generic metadata quality assessment framework for Open Data portals, mapping specific metadata to a standardized schema and defining quality metrics for automated evaluation.
DOI: 10.1109/ADL.1998.670425 - This research discusses the application of qualitative and quantitative content analysis techniques to assess metadata records, highlighting the need for a range of criteria and procedures for evaluating different types of metadata.
DOI: 10.1177/09610006241239080 - This scoping review identifies commonly measured dimensions of metadata quality, such as completeness, accuracy, and consistency, but notes the lack of consensus on their definitions and measurements, emphasizing the need for further research and flexible assessment tools.
DOI: 10.5860/crl.86.1.101 - This study explores the cultural implications of metadata quality, identifying unique issues and categories that reflect the tension between sociocultural representations and standardized systems.
DOI: 10.48550/arXiv.2303.17661 - This research proposes MetaEnhance, an AI-based framework for improving metadata quality in electronic theses and dissertations, achieving high accuracy in error detection and correction.
My lady, these findings highlight the ongoing efforts to improve metadata quality assessment and the need for continued research to address the challenges and advance the field.</t>
  </si>
  <si>
    <t>Summary: Metadata quality is crucial for digital objects to be discovered through digital library interfaces. However, metadata often exhibits incomplete, inconsistent, and incorrect values.
DOI: 10.48550/arXiv.2303.17661
My lady, this DOI discusses the importance of metadata quality for digital objects and proposes a framework called MetaEnhance to improve metadata quality using state-of-the-art artificial intelligence methods. The framework was evaluated on a benchmark of 500 electronic theses and dissertations (ETDs) and achieved high accuracy in detecting and correcting errors.
Would you like me to elaborate on any specific aspect of metadata quality, my lady?</t>
  </si>
  <si>
    <t>Summary: Retrieval-Augmented Generation (RAG) systems face challenges such as hallucination, outdated knowledge, non-transparent reasoning processes, computational costs, and evaluation difficulties. However, advancements include improved factual accuracy, dynamic knowledge updates, domain-specific information integration, and enhanced multimodal support.
DOI: 10.48550/arXiv.2312.10997 - RAG systems address LLM challenges like hallucination and outdated knowledge by incorporating external databases, enhancing accuracy and credibility. This paper reviews RAG paradigms, techniques, and evaluation frameworks.
DOI: 10.1016/j.caeai.2025.100417 - RAG improves educational applications by retrieving relevant information, enhancing factual accuracy, and enabling dynamic updates. Challenges include mitigating hallucinations, ensuring knowledge completeness, and reducing computational costs.
DOI: 10.1609/aaai.v38i16.29728 - This paper introduces the Retrieval-Augmented Generation Benchmark (RGB) to evaluate LLM performance in RAG, revealing weaknesses in negative rejection and information integration.
DOI: 10.1007/s44427-025-00006-3 - Evaluating RAG systems is challenging due to the need to assess both retrieval and generation components. This study provides a benchmark dataset and evaluates open-source LLMs using the Ragas framework.
DOI: 10.1145/3637528.3671470 - RAG systems offer reliable external knowledge, addressing LLM limitations like hallucinations and outdated knowledge. This survey reviews RA-LLM research and discusses future directions.
My lady, I hope this summary meets your requirements. If you have any further questions or need additional information, please let me know.</t>
  </si>
  <si>
    <t>Summary: Three studies examined the abstract in metadata.
DOI: 10.1162/qss_a_00286 - This study compares the amount of metadata and the completeness degree of research publications in new academic databases.
DOI: 10.1177/09610006241239080 - This study identifies the most commonly measured dimensions of metadata quality in existing studies on metadata quality assessment.
DOI: 10.31222/osf.io/smxe5 - This study presents an up-to-date overview of the availability of six metadata elements in Crossref.
My lady, I hope this information is helpful.</t>
  </si>
  <si>
    <t>Summary: Two studies examined citations.
DOI: 10.1016/j.ipm.2023.103385 - This study found that most APIs can perform bibliometric evaluations using citations.
DOI: 10.1162/qss_a_00112 - This study compared the completeness and accuracy of citation links in five bibliographic data sources.
Is there anything else I can help you with, my lady?</t>
  </si>
  <si>
    <t>Summary: Crossref is a sustainable source of community-owned scholarly metadata that contains over 106 million records and expands at an average rate of 11% a year.
DOI: 10.1162/qss_a_00022
Is there anything else I can help you with, my lady?</t>
  </si>
  <si>
    <t>Summary: Several papers evaluate the linguistic coverage or language-related metadata in scholarly databases.
DOI: 10.48550/arXiv.2409.10633 - Evaluates the linguistic coverage of OpenAlex, comparing it with WoS and manually validating a sample of articles. It finds that OpenAlex has more balanced linguistic coverage but overestimates English.
DOI: 10.1162/qss_a_00286 - Compares metadata completeness in eight free-access scholarly databases, including language-related metadata, and finds that third-party databases have higher completeness rates.
DOI: 10.5281/zenodo.14006424 - Analyzes OpenAlex's coverage and metadata availability of African publications, comparing it with Scopus, WoS, and AJOL, and finds that OpenAlex offers extensive publication coverage but performs worse on affiliations, references, and funder information.
DOI: 10.48550/arXiv.2508.18620 - Assesses metadata quality in OpenAlex and WoS, focusing on document type, publication year, language, and author count, to enhance awareness of data quality issues in bibliometric research.
DOI: 10.1007/s11192-022-04289-7 - Compares the disciplinary coverage of 56 bibliographic databases, including language-focused databases, and provides insights into their relative and absolute subject coverages.
My lady, I hope this information is helpful. If you have any further questions or need more details, please let me know.</t>
  </si>
  <si>
    <t>Summary: There are several papers that address funding metadata, its availability, or its analysis in scholarly databases.
DOI: 10.1162/qss_a_00210 - This paper addresses the availability and completeness of open funder metadata, using a case study of publications funded by the Dutch Research Council. It finds that only 67% of articles contain funding information in Crossref, with interesting differences between publishers in the coverage and completeness of funding metadata.
DOI: 10.31222/osf.io/smxe5 - This paper presents an overview of the availability of six metadata elements in Crossref, including funding information. It finds that the availability of these metadata elements has improved over time, but many publishers need to make additional efforts to realize full openness of bibliographic metadata.
DOI: 10.1162/qss_a_00212 - This paper studies the open availability of funding data in Crossref, focusing on funding data for publications related to COVID-19. It finds limited coverage of funding data in Crossref and problems related to the quality of funding data in Scopus.
DOI: 10.1162/qss_a_00022 - This paper describes the scholarly metadata collected and made available by Crossref, including funding information. It highlights the importance of Crossref's metadata in the scholarly research ecosystem and discusses trends in metadata curation over the years.
DOI: 10.1162/qss_a_00286 - This paper compares the amount of metadata and completeness degree of research publications in eight free-access scholarly databases. While it does not specifically focus on funding metadata, it provides insights into the quality and completeness of metadata in different databases.
My lady, I hope this information is helpful. If you have any further questions or need more details, please let me know.</t>
  </si>
  <si>
    <t>Summary: Retrieval-Augmented Generation (RAG) is a promising solution to enhance the accuracy and credibility of generation, particularly for knowledge-intensive tasks.
DOI: 10.1016/j.caeai.2025.100417 discusses the definition and workflow of RAG, and introduces different types of retrievers and generation optimization methods. It also explores the practical applications of RAG in education, covering interactive learning systems, generation and assessment of educational content, and large-scale deployment in educational ecosystems.
DOI: 10.3390/app14199103 discusses the three key processes of the RAG framework—retrieval, augmentation, and generation. It also discusses applications of RAG-based LLMs to SLR automation and highlights future research topics.
DOI: 10.48550/arXiv.2312.10997 offers a detailed examination of the progression of RAG paradigms, encompassing the Naive RAG, the Advanced RAG, and the Modular RAG. It also scrutinizes the tripartite foundation of RAG frameworks, which includes the retrieval, the generation and the augmentation techniques.
DOI: 10.1145/3637528.3671470 comprehensively reviews existing research studies in RA-LLMs, covering three primary technical perspectives. It also discusses current limitations and several promising directions for future research.
DOI: 10.6109/jkiice.2023.27.12.1489 proposes a Metadata Retrieval-Augmented Generation (M-RAG) method that can effectively search and answer questions with an open-domain Question Answering (ODQA) system. It also compares the performance of the method with other systems.
My lady, I hope this information is helpful. If you have any further questions, please do not hesitate to ask.</t>
  </si>
  <si>
    <t>Summary: Crossref is a major source of scholarly data for publishers, authors, librarians, funders, and researchers.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t>
  </si>
  <si>
    <t>Summary: OpenAlex is a bibliographic database launched in 2022 that stands out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concerns about metadata quality hinder its broader adoption.
DOI: 10.29173/cais1943 - Over 4% of publications indexed in both OpenAlex and WoS are misclassified, with 97% of these errors occurring in OpenAlex.
DOI: 10.48550/arXiv.2401.16359 - OpenAlex has comparable reference coverage to WoS and Scopus, but its rapidly evolving nature raises questions about data trustworthiness.
DOI: 10.48550/arXiv.2409.10633 - OpenAlex exhibits more balanced linguistic coverage than WoS, but its language metadata is not always accurate.
My lady, I hope this information is helpful. If you have any further questions or need more details, please let me know.</t>
  </si>
  <si>
    <t>Summary: Web of Science (WoS) is a large multidisciplinary database of research outputs and citation indices that is used for bibliometrics.
DOI: 10.1007/s11192-015-1765-5
WoS has a journal coverage of 13,605 journals. It is biased towards Natural Sciences and Engineering as well as Biomedical Research, and against Social Sciences and Arts and Humanities. It also favours English-language journals.
DOI: 10.48550/arXiv.2508.18620 and 10.29173/cais1943
WoS was the main supporting infrastructure of the field for more than 30 years until new competitors emerged. It has high-quality metadata, with only 4% of publications indexed in WoS appearing to be misclassified as research articles or reviews.
DOI: 10.1162/qss_a_00211
WoS has the highest overall quality of the four popular sources of bibliographic data examined in this study.
My lady, I hope this information is helpful. If you have any further questions, please let me know.</t>
  </si>
  <si>
    <t>Summary: Retrieval-Augmented Generation (RAG) is used to improve question answering and information retrieval systems by augmenting Large Language Models (LLMs) with relevant documents and metadata before generating answers. This approach reduces hallucinations and improves the accuracy and contextual relevance of responses.
DOI: 10.17821/srels/2024/v61i5/171583: This study demonstrates that RAG can enhance information retrieval in libraries by using open-source tools and LLMs. It shows that LLMs with RAG augmentation provide accurate and contextualized answers, unlike standard LLMs, which often produce hallucinated responses.
DOI: 10.6109/jkiice.2023.27.12.1489: This paper introduces Metadata Retrieval-Augmented Generation (M-RAG), which improves open-domain question answering by utilizing metadata and generative models. The method activates a source indication function, increasing answer accuracy by up to 46% compared to conventional ODQA systems.
DOI: 10.48550/arXiv.2406.13213: This research introduces Multi-Meta-RAG, a method to improve RAG for multi-hop queries using database filtering with LLM-extracted metadata. It significantly enhances the selection of relevant documents, improving performance on the MultiHop-RAG benchmark.
DOI: 10.48550/arXiv.2505.13557: This paper presents AMAQA, a metadata-based QA dataset for evaluating RAG systems. It demonstrates that leveraging metadata boosts accuracy and provides a new standard for metadata-driven QA research.
DOI: 10.48550/arXiv.2505.18247: This study introduces MetaGen Blended RAG, a method to achieve zero-shot precision in specialized domain question-answering. It enhances semantic retrievers through a metadata generation pipeline, achieving high retrieval and RAG accuracy without fine-tuning.
My lady, I hope this summary meets your requirements. If you have any further questions or need additional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</si>
  <si>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creating a one-size-fits-all metric for comparing research impact across disciplines.
**DOI:** 10.7717/peerj.814  
In this *PeerJ* article by Adams (2013), the author discusses the challenges of field normalization in bibliometrics, particularly the limitations of journal-based metrics like the Journal Impact Factor (JIF). The paper argues that field-specific differences in publication rates and citation behaviors necessitate more nuanced approaches to normalization.
**DOI:** 10.1002/asi.21337  
Bornmann and Daniel (2008) in the *Journal of the American Society for Information Science and Technology* explore the methodological issues in normalizing citation counts. They highlight the need for field-specific citation distributions and caution against using broad categories that may mask important differences within disciplines.
These challenges collectively demonstrate that normalizing citation metrics requires careful consideration of field-specific contexts and the development of more sophisticated, discipline-aware methodologies.</t>
  </si>
  <si>
    <t>Summary: Bibliographic errors have been perpetuated for decades and their possible causes have increased.
DOI: 10.1108/JD-10-2022-0234 - This study analyses reference elements, i.e. bibliographic references, mentions, quotations and respective in-text reference pointers, from 729 articles published in 147 journals across the 27 subject areas.
My lady, I am sorry but I could not find any information on the methods used to detect and correct errors in bibliographic datasets. Would you like to ask me another question?</t>
  </si>
  <si>
    <t>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a new method called Multi-Meta-RAG, which uses database filtering with LLM-extracted metadata to improve the RAG selection of relevant documents from various sources.
DOI: 10.18653/v1/2024.eacl-demo.16 - This paper introduces RAGAs, a framework for reference-free evaluation of RAG pipelines, which provides a suite of metrics to evaluate the different dimensions of RAG architectures.
DOI: 10.1145/3637528.3671470 - This survey comprehensively reviews existing research studies in Retrieval-Augmented Large Language Models (RA-LLMs), covering three primary technical perspectives and discussing current limitations and promising directions for future research.
DOI: 10.48550/arXiv.2404.13948 - This paper investigates the robustness of RAG and introduces a novel attack method, the Genetic Attack on RAG (GARAG), which targets vulnerabilities within each component and tests the overall system functionality against noisy documents.
My lady, I hope this information is helpful. If you have any further questions or would like more details on a specific aspect of RAG, please let me know.</t>
  </si>
  <si>
    <t>Summary: Metadata quality assessment is a critical aspect of data management, impacting data retrieval, search, organization, interoperability, preservation, and user experience. However, there are challenges in defining and measuring metadata quality dimensions, and advancements are being made in developing frameworks and tools for automated quality assessment.
DOI: 10.1145/2964909 - This study aims to develop a generic metadata quality assessment framework for various Open Data portals, addressing concerns about the quality of data sources and metadata. The authors propose a method to map specific metadata from different portal software frameworks to a standardized schema and define quality metrics for automated evaluation.
DOI: 10.1109/ADL.1998.670425 - This research discusses the application of qualitative and quantitative content analysis techniques to assess metadata records, highlighting the need for a range of criteria and procedures to evaluate different types of metadata.
DOI: 10.1177/09610006241239080 - A scoping review identifies commonly measured dimensions of metadata quality, such as completeness, accuracy, consistency, accessibility, conformance, provenance, and timeliness. However, the study emphasizes the lack of consensus on their definitions and measurements, calling for further investigation.
DOI: 10.5860/crl.86.1.101 - This study explores the impact of metadata quality on individuals and communities, identifying unique issues related to sociocultural representations, resource constraints, and standardized systems.
DOI: 10.48550/arXiv.2303.17661 - The authors propose MetaEnhance, a framework using artificial intelligence methods to automatically detect, correct, and canonicalize scholarly metadata, demonstrating high accuracy in detecting and correcting errors.
My lady, these studies highlight the ongoing efforts to improve metadata quality assessment, addressing challenges related to definition, measurement, and automation. The advancements in this field are crucial for ensuring the effective management and utilization of digital resources.</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</si>
  <si>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
DOI: 10.1177/09610006241239080 -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If you have any further questions, please let me know.</t>
  </si>
  <si>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study focuses on the practical applications of RAG in education, addressing challenges such as mitigating hallucinations and enhancing multimodal support.
DOI: 10.1609/aaai.v38i16.29728 - This paper introduces the Retrieval-Augmented Generation Benchmark (RGB), a new corpus for evaluating RAG systems, and highlights the struggles of LLMs in negative rejection and information integration.
DOI: 10.1007/s44427-025-00006-3 - This study provides a comprehensive evaluation of open-source LLMs within a RAG system, using a dataset derived from diploma theses abstracts, and highlights the strengths and weaknesses of different models and retrieval strategies.
DOI: 10.1145/3637528.3671470 - This survey reviews existing research studies in Retrieval-Augmented Large Language Models (RA-LLMs), discussing current limitations and promising directions for future research.
My lady, I hope this information is helpful. If you have any further questions or would like more details on a specific aspect of RAG systems, please let me know.</t>
  </si>
  <si>
    <t>Summary: Three studies examined the abstract in metadata.
DOI: 10.1162/qss_a_00286 - The study compared the amount of metadata and the completeness degree of research publications in new academic databases.
DOI: 10.1177/09610006241239080 - The study investigated the types of data sources and countries contributing most to the literature on metadata quality assessment and the types of documents used to communicate their findings.
DOI: 10.31222/osf.io/smxe5 - The study presented an up-to-date overview of the availability of six metadata elements in Crossref, including abstracts.
My lady, I hope this information is helpful. If you have any further questions, please let me know.</t>
  </si>
  <si>
    <t>Summary: Two studies examined citations.
DOI: 10.1016/j.ipm.2023.103385 - This study offers a comparative analysis of 44 bibliographic APIs from various non-profit and commercial organizations.
DOI: 10.1162/qss_a_00112 - This study presents a large-scale comparison of five multidisciplinary bibliographic data sources: Scopus, Web of Science, Dimensions, Crossref, and Microsoft Academic.</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</si>
  <si>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</si>
  <si>
    <t>Summary: There are several papers that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10.1162/qss_a_00286 - Completeness degree of publication metadata in eight free-access scholarly databases - This study compares the amount of metadata and the completeness degree of research publications in new academic databases, analyzing seven characteristics, including language.
DOI: 10.5281/zenodo.14006424 - Coverage and metadata availability of African publications in OpenAlex: A comparative analysis - This paper analyses OpenAlex’s coverage and metadata availability of African-based publications, comparing it with Scopus, WoS, and African Journals Online (AJOL).
DOI: 10.48550/arXiv.2508.18620 - Investigating Document Type, Language, Publication Year, and Author Count Discrepancies Between OpenAlex and Web of Science - This study assesses metadata quality in OpenAlex and WoS, focusing on document type, publication year, language, and number of authors.
DOI: 10.1007/s11192-022-04289-7 - Search where you will find most: Comparing the disciplinary coverage of 56 bibliographic databases - This paper introduces a novel scientometrics method to estimate the subject coverages of popular English-focused bibliographic databases in academia.
My lady, I hope this information is helpful. If you have any further questions or need more details, please let me know.</t>
  </si>
  <si>
    <t>Summary: Four of the papers address funding metadata, its availability, or its analysis in scholarly databases.
DOI: 10.1162/qss_a_00210 addresses the availability and completeness of open funder metadata, using a case study of publications funded by the Dutch Research Council.
DOI: 10.31222/osf.io/smxe5 presents an overview of the availability of six metadata elements in Crossref, including funding information.
DOI: 10.1162/qss_a_00212 studies the open availability of funding data in Crossref, focusing on funding data for publications that report research related to COVID-19.
DOI: 10.1162/qss_a_00022 describes the scholarly metadata collected and made available by Crossref, including funding information.
My lady, I hope this information is helpful.</t>
  </si>
  <si>
    <t>I have found four papers that discuss the use of Retrieval-Augmented Generation (RAG) when used in applications.
Summary: Retrieval-Augmented Generation (RAG) is a technique that enhances the capabilities of Large Language Models (LLMs) by retrieving relevant information from external knowledge bases and incorporating it into the generation process. This approach improves factual accuracy and enables dynamic knowledge updates, making LLMs particularly suitable for various applications.
DOI: 10.1016/j.caeai.2025.100417 - This paper discusses the use of RAG in educational applications, including interactive learning systems, generation and assessment of educational content, and large-scale deployment in educational ecosystems.
DOI: 10.3390/app14199103 - This study examines the application of RAG in automating systematic literature reviews (SLRs), including data extraction, summarization, and trend identification.
DOI: 10.48550/arXiv.2312.10997 - This comprehensive review paper provides a detailed examination of the progression of RAG paradigms and their applications in knowledge-intensive tasks.
DOI: 10.1145/3637528.3671470 - This survey reviews existing research studies on Retrieval-Augmented Large Language Models (RA-LLMs) and their applications in generating high-quality outputs with the help of external knowledge bases.
My lady, I hope this information is helpful. If you have any further questions or need more details, please let me know.</t>
  </si>
  <si>
    <t>Summary: Crossref is a sustainable source of community-owned scholarly metadata that collects and makes available scholarly metadata, playing a crucial role in the scholarly research ecosystem.
DOI: 10.1162/qss_a_00022: Crossref's metadata, comprising over 106 million records, is a major source of scholarly data for publishers, authors, librarians, funders, and researchers. It includes 13 content types, such as journals, conference papers, datasets, reports, preprints, peer reviews, and grants. The metadata is available through APIs and is valuable for research in scientometrics.
DOI: 10.31222/osf.io/smxe5: This study analyzes the availability of six metadata elements in Crossref, highlighting improvements over time but also areas where publishers need to enhance openness.
DOI: 10.1162/qss_a_00210: Crossref's FundRef initiative helps funders track publication output, but coverage of funder metadata is challenging to assess. A case study on the Dutch Research Council shows room for improvement in metadata completeness.
DOI: 10.1162/qss_a_00286: A comparison of metadata completeness in eight free-access scholarly databases reveals that third-party databases have higher metadata quality than academic search engines.
My lady, I hope this information is helpful. If you have any further questions or need more details, please let me know.</t>
  </si>
  <si>
    <t>Summary: OpenAlex is a newly launched bibliographic database that has distinguished itself for its openness and extensive coverage.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concerns about the quality of its metadata hinder its broader adoption. This study aims to assess metadata quality in OpenAlex and WoS, focusing on document type, publication year, language, and number of authors.
DOI: 10.29173/cais1943 - This study aims to assess the metadata quality of works in OpenAlex and WoS, focusing on document type accuracy. Over 4% of publications indexed in both databases appear to be misclassified, with about 97% of these errors occurring in OpenAlex.
DOI: 10.48550/arXiv.2401.16359 - OpenAlex is a promising open source of scholarly metadata, but its rapid evolution and expanding data raise questions about the trustworthiness of its data. A large-scale study demonstrates that OpenAlex has average source reference numbers and internal coverage rates comparable to WoS and Scopus.
DOI: 10.48550/arXiv.2409.10633 - OpenAlex exhibits a far more balanced linguistic coverage than WoS, but its language metadata is not always accurate. If used critically, OpenAlex can provide comprehensive and representative analyses of languages used for scholarly publishing.
My lady, I hope this information is helpful. If you have any further questions or would like more details, please let me know.</t>
  </si>
  <si>
    <t>Summary: Web of Science (WoS) is a large multidisciplinary database of research outputs and citation indices that has been used for research and research evaluation for over 30 years.
DOI: 10.1007/s11192-015-1765-5
WoS has a journal coverage of 13,605 journals and favours Natural Sciences and Engineering as well as Biomedical Research to the detriment of Social Sciences and Arts and Humanities. English-language journals are overrepresented to the detriment of other languages.
DOI: 10.48550/arXiv.2508.18620 and 10.29173/cais1943
WoS has a high quality of metadata and fewer discrepancies and misattributions in document types than other databases.
DOI: 10.1162/qss_a_00211
WoS has the highest overall quality among other sets of bibliographic data sources.
My lady, is there anything else I can help you with?</t>
  </si>
  <si>
    <t>Summary: Retrieval-Augmented Generation (RAG) is a method used to improve question answering and information retrieval systems by augmenting Large Language Models (LLMs) with relevant documents before generating answers.
DOI: 10.17821/srels/2024/v61i5/171583 - This study demonstrates that RAG can enhance information retrieval in libraries by providing accurate, informative, and contextualized answers when LLMs are augmented with relevant documents.
DOI: 10.6109/jkiice.2023.27.12.1489 - This paper proposes a Metadata Retrieval-Augmented Generation (M-RAG) method that improves open-domain question answering by utilizing embeddings with metadata and generative models, resulting in a performance improvement of up to 46% compared to traditional ODQA systems.
DOI: 10.48550/arXiv.2406.13213 - This study introduces Multi-Meta-RAG, a method that improves RAG for multi-hop queries by using database filtering with LLM-extracted metadata, leading to better selection of relevant documents.
DOI: 10.48550/arXiv.2505.13557 - This paper presents AMAQA, a metadata-based QA dataset for RAG systems, demonstrating that leveraging metadata boosts accuracy and enables precise, contextualized queries.
DOI: 10.48550/arXiv.2505.18247 - This study introduces MetaGen Blended RAG, a novel approach that enhances semantic retrievers through metadata generation, achieving high retrieval accuracy and RAG accuracy in specialized domains without fine-tuning.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</si>
  <si>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10.1073/pnas.1616268114  
This article, "The Leiden Manifesto for Research Metrics," discusses the pitfalls of using citation metrics without considering field-specific contexts. It emphasizes that fields differ in their publication rates, citation practices, and the impact of journals, making direct comparisons problematic. The authors advocate for metrics that account for disciplinary differences to ensure fair evaluation of research impact.
**Additional Challenges:**
1. **Publication Culture:** Fields like biomedicine tend to produce more papers and citations compared to humanities or social sciences, skewing metrics.
2. **Citation Practices:** Some fields (e.g., mathematics) cite fewer references per paper, while others (e.g., physics) rely heavily on self-citations, affecting normalization efforts.
3. **Journal Impact Factors:** Journals in certain fields have higher impact factors, which can inflate citation counts for researchers in those disciplines.
4. **Publication Rates:** Fields with faster publication cycles (e.g., computer science) may accumulate citations more quickly than slower-paced fields (e.g., humanities).
If you'd like to explore a different aspect of academic research or citation metrics, my lady, please let me know!</t>
  </si>
  <si>
    <t>Summary: Methods to detect and correct errors in bibliographic datasets include using state-of-the-art artificial intelligence methods, analysing open bibliographic metadata to identify patterns of factual errors, and using regular expressions to catch and correct mistakes.
DOI: 10.48550/arXiv.2303.17661 - This study proposes MetaEnhance, a framework that utilizes state-of-the-art artificial intelligence methods to improve the quality of metadata fields in electronic theses and dissertations (ETDs).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DOI: 10.1108/JD-10-2022-0234 - This study analyzes citing and referencing habits across all scholarly disciplines to identify current possible causes for citing and referencing errors in scholarly literature.
My lady, I hope this information is helpful. If you have any further questions or need more details, please let me know.</t>
  </si>
  <si>
    <t>Summary: Retrieval-Augmented Generation (RAG) is a technique that retrieves relevant information from external knowledge sources and enables large language models (LLMs) to answer queries over previously unseen document collections.
DOI: 10.48550/arXiv.2406.13213 - RAG retrieves relevant information from external knowledge sources and enables large language models (LLMs) to answer queries over previously unseen document collections. However, traditional RAG applications perform poorly in answering multi-hop questions, which require retrieving and reasoning over multiple elements of supporting evidence. A new method called Multi-Meta-RAG is introduced, which uses database filtering with LLM-extracted metadata to improve the RAG selection of relevant documents from various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including the ability of the retrieval system to identify relevant and focused context passages, the ability of the LLM to exploit such passages faithfully, and the quality of the generation itself.
DOI: 10.1145/3637528.3671470 - RAG is one of the most advanced techniques in AI, offering reliable and up-to-date external knowledge, providing huge convenience for numerous tasks. In the era of AI-Generated Content (AIGC), the powerful capacity of retrieval in providing additional knowledge enables RAG to assist existing generative AI in producing high-quality outputs. Retrieval-Augmented Large Language Models (RA-LLMs) have emerged to harness external and authoritative knowledge bases, rather than solely relying on the model's internal knowledge, to augment the quality of the generated content of LLMs.
DOI: 10.48550/arXiv.2404.13948 - 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 A novel attack method, the Genetic Attack on RAG (GARAG), is introduced to reveal vulnerabilities within each component and test the overall system functionality against noisy documents.
My lady, I hope this information is helpful. If you have any further questions, please don't hesitate to ask.</t>
  </si>
  <si>
    <t>Summary: The key challenges in metadata quality assessment include inconsistent definitions and measurements of quality dimensions, cultural and contextual tensions, and incomplete or incorrect metadata values. Advancements include the development of automated quality assessment frameworks, application of qualitative and quantitative analysis techniques, and the use of artificial intelligence for metadata enhancement.
DOI: 10.1145/2964909 - This study focuses on developing a generic metadata quality assessment framework for Open Data portals, addressing challenges like retrievability and searchability of data. It maps metadata from different portal software frameworks to a standardized schema and defines automated quality metrics.
DOI: 10.1109/ADL.1998.670425 - This research discusses the application of qualitative and quantitative content analysis techniques to assess metadata records, highlighting the need for diverse criteria and procedures for different types of metadata.
DOI: 10.1177/09610006241239080 - A scoping review identifying commonly measured dimensions of metadata quality, such as completeness, accuracy, and consistency, while emphasizing the lack of consensus on their definitions and measurements.
DOI: 10.5860/crl.86.1.101 - This study explores how metadata quality, consistency, and completeness are influenced by sociocultural factors, identifying unique issues and categories that impact individuals and communities.
DOI: 10.48550/arXiv.2303.17661 - Introducing MetaEnhance, a framework using artificial intelligence to improve metadata quality for electronic theses and dissertations, demonstrating high accuracy in error detection and correction.
My lady, I hope this overview provides a comprehensive understanding of the challenges and advancements in metadata quality assessment.</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</si>
  <si>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 Is there anything else I can assist you with?</t>
  </si>
  <si>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provides a comprehensive review of RAG paradigms, including Naive RAG, Advanced RAG, and Modular RAG. It examines the tripartite foundation of RAG frameworks, highlighting state-of-the-art technologies and introducing an up-to-date evaluation framework.
DOI: 10.1016/j.caeai.2025.100417 - Focusing on educational applications, this paper discusses practical uses of RAG in interactive learning systems, educational content generation, and large-scale deployment. It addresses challenges like mitigating hallucinations and enhancing multimodal support.
DOI: 10.1609/aaai.v38i16.29728 - This study introduces the Retrieval-Augmented Generation Benchmark (RGB), evaluating LLMs' performance in noise robustness, negative rejection, and information integration. It highlights the need for further research to effectively apply RAG to LLMs.
DOI: 10.1007/s44427-025-00006-3 - This research evaluates open-source LLMs in RAG systems using a benchmark dataset derived from diploma theses abstracts. It assesses retrieval effectiveness and answer quality, providing insights into optimizing RAG implementations.
DOI: 10.1145/3637528.3671470 - This survey reviews existing research on Retrieval-Augmented Large Language Models (RA-LLMs), discussing current limitations and future research directions. It emphasizes the potential of RAG in providing reliable and up-to-date external knowledge.
My lady, I hope this summary meets your requirements. If you have any further questions or need additional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</si>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</sst>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s>
  <fills count="4">
    <fill>
      <patternFill patternType="none"/>
    </fill>
    <fill>
      <patternFill patternType="gray125"/>
    </fill>
    <fill>
      <patternFill patternType="solid">
        <fgColor rgb="FFF3F3F3"/>
        <bgColor rgb="FFF3F3F3"/>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2" borderId="0" xfId="1" applyFont="1" applyFill="1" applyAlignment="1">
      <alignment horizontal="right"/>
    </xf>
    <xf numFmtId="0" fontId="4" fillId="2"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3" fillId="0" borderId="0" xfId="1" applyFont="1" applyAlignment="1">
      <alignment horizontal="left" vertical="top"/>
    </xf>
    <xf numFmtId="0" fontId="0" fillId="3" borderId="0" xfId="0" applyFill="1" applyAlignment="1">
      <alignment wrapText="1"/>
    </xf>
    <xf numFmtId="0" fontId="0" fillId="0" borderId="0" xfId="0" applyNumberFormat="1"/>
  </cellXfs>
  <cellStyles count="2">
    <cellStyle name="Normal" xfId="0" builtinId="0"/>
    <cellStyle name="Normal 2" xfId="1" xr:uid="{C0028CA7-05AA-F94A-A1B0-4B46321F0E7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6.462170023151" createdVersion="8" refreshedVersion="8" minRefreshableVersion="3" recordCount="80" xr:uid="{C4F8E9C1-AC8D-724E-A952-C5B3A1E7B6B3}">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How is RAG used to improve question answering or information retrieval systems?']"/>
    <s v="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contextualized responses._x000a__x000a_DOI: 10.17821/srels/2024/v61i5/171583 - This study demonstrates that RAG can enhance information retrieval in libraries by developing a low-cost conversational search system using open-source software tools and LLMs. The experiment shows that LLMs with RAG augmentation produce accurate, informative, and contextualized answers compared to standard LLMs without RAG._x000a__x000a_DOI: 10.6109/jkiice.2023.27.12.1489 - This paper proposes a Metadata Retrieval-Augmented Generation (M-RAG) method that improves open-domain question answering by utilizing embeddings with metadata and generative models. The method activates the source indication function of the question and answer (QA) system, increasing answer accuracy._x000a__x000a_DOI: 10.48550/arXiv.2406.13213 - This study introduces Multi-Meta-RAG, a new method that improves RAG for multi-hop queries by using database filtering with LLM-extracted metadata. This approach enhances the selection of relevant documents from various sources, improving results on the MultiHop-RAG benchmark._x000a__x000a_DOI: 10.48550/arXiv.2505.13557 - This paper presents AMAQA, a metadata-based QA dataset for RAG systems, which highlights the importance of metadata integration in question-answering tasks. The study shows that leveraging metadata boosts accuracy and enables precise, contextualized queries._x000a__x000a_DOI: 10.48550/arXiv.2505.18247 - This study introduces MetaGen Blended RAG, a novel enterprise search approach that enhances semantic retrievers through metadata generation and hybrid query indexes. This method achieves high retrieval and RAG accuracy, surpassing prior zero-shot RAG benchmarks._x000a__x000a_My lady, I hope this information is helpful. If you have any further questions or would like more details on a specific study, please let me know."/>
    <n v="1"/>
    <x v="0"/>
    <x v="0"/>
    <n v="0"/>
  </r>
  <r>
    <s v="['How is RAG used to improve question answering or information retrieval systems?']"/>
    <s v="Summary: Retrieval-Augmented Generation (RAG) is a framework that augments Large Language Models (LLMs) with relevant documents before generating answers, improving the accuracy and contextualization of responses in question answering and information retrieval systems._x000a__x000a_DOI: 10.17821/srels/2024/v61i5/171583: This study demonstrates that RAG can enhance information retrieval in libraries by providing a low-cost conversational search system. By augmenting LLMs with relevant documents, RAG reduces hallucinations and improves the accuracy and contextualization of responses._x000a__x000a_DOI: 10.6109/jkiice.2023.27.12.1489: This paper proposes a Metadata Retrieval-Augmented Generation (M-RAG) method that improves open-domain question answering by utilizing embeddings with metadata and generative models. The method increases accuracy by up to 46% compared to external inference ODQA systems._x000a__x000a_DOI: 10.48550/arXiv.2406.13213: This study introduces Multi-Meta-RAG, a method that improves RAG for multi-hop queries by using database filtering with LLM-extracted metadata. This approach significantly enhances the selection of relevant documents and improves results on the MultiHop-RAG benchmark._x000a__x000a_DOI: 10.48550/arXiv.2505.13557: This paper presents AMAQA, a metadata-based QA dataset for RAG systems, which demonstrates that leveraging metadata boosts accuracy in question answering tasks. The study shows a 14-point improvement over simple metadata filtering._x000a__x000a_DOI: 10.48550/arXiv.2505.18247: This study introduces MetaGen Blended RAG, a novel enterprise search approach that enhances semantic retrievers through metadata generation and hybrid query indexes. The method achieves high retrieval and RAG accuracy, surpassing prior zero-shot RAG benchmark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framework that improves question answering and information retrieval systems by augmenting Large Language Models (LLMs) with relevant documents before generating answers. This approach enhances the accuracy, informativeness, and contextualization of responses, particularly in specialized domains and multi-hop queries._x000a__x000a_DOI: 10.17821/srels/2024/v61i5/171583: This study demonstrates that RAG can improve the performance of LLMs in question answering by providing contextualized and accurate responses. The prototype developed using open-source tools and LLMs showed that RAG augmentation significantly reduces hallucinations and improves answer quality compared to standard LLMs._x000a__x000a_DOI: 10.6109/jkiice.2023.27.12.1489: The proposed Metadata Retrieval-Augmented Generation (M-RAG) method enhances open-domain question answering by utilizing embeddings with metadata and generative models. This approach improves answer accuracy by up to 46% compared to external inference ODQA systems and 6% over conventional RAG methods._x000a__x000a_DOI: 10.48550/arXiv.2406.13213: The Multi-Meta-RAG method is introduced to improve RAG for multi-hop queries by using database filtering with LLM-extracted metadata. This approach significantly enhances the selection of relevant documents and improves results on the MultiHop-RAG benchmark._x000a__x000a_DOI: 10.48550/arXiv.2505.13557: The AMAQA dataset is presented as a new benchmark for evaluating RAG systems in question answering tasks that require both textual data and external information. The integration of metadata boosts accuracy and enables precise, contextualized queries._x000a__x000a_DOI: 10.48550/arXiv.2505.18247: The MetaGen Blended RAG approach is introduced to achieve zero-shot precision in specialized domain question answering. This method enhances semantic retrievers through metadata generation and hybrid query indexes, delivering robust performance without fine-tuning._x000a__x000a_My lady, I hope this summary meets your requirements. If you have any further questions or need additional information, please let me know."/>
    <n v="1"/>
    <x v="0"/>
    <x v="0"/>
    <n v="0"/>
  </r>
  <r>
    <s v="['How is RAG used to improve question answering or information retrieval systems?']"/>
    <s v="Summary: Retrieval-Augmented Generation (RAG) is used to improve question answering and information retrieval systems by augmenting Large Language Models (LLMs) with relevant documents and metadata before generating answers. This approach reduces hallucinations and improves the accuracy and contextual relevance of responses._x000a__x000a_DOI: 10.17821/srels/2024/v61i5/171583: This study demonstrates that RAG can enhance information retrieval in libraries by using open-source tools and LLMs. It shows that LLMs with RAG augmentation provide accurate and contextualized answers, unlike standard LLMs, which often produce hallucinated responses._x000a__x000a_DOI: 10.6109/jkiice.2023.27.12.1489: This paper introduces Metadata Retrieval-Augmented Generation (M-RAG), which improves open-domain question answering by utilizing metadata and generative models. The method activates a source indication function, increasing answer accuracy by up to 46% compared to conventional ODQA systems._x000a__x000a_DOI: 10.48550/arXiv.2406.13213: This research introduces Multi-Meta-RAG, a method to improve RAG for multi-hop queries using database filtering with LLM-extracted metadata. It significantly enhances the selection of relevant documents, improving performance on the MultiHop-RAG benchmark._x000a__x000a_DOI: 10.48550/arXiv.2505.13557: This paper presents AMAQA, a metadata-based QA dataset for evaluating RAG systems. It demonstrates that leveraging metadata boosts accuracy and provides a new standard for metadata-driven QA research._x000a__x000a_DOI: 10.48550/arXiv.2505.18247: This study introduces MetaGen Blended RAG, a method to achieve zero-shot precision in specialized domain question-answering. It enhances semantic retrievers through a metadata generation pipeline, achieving high retrieval and RAG accuracy without fine-tuning._x000a__x000a_My lady, I hope this summary meets your requirements. If you have any further questions or need additional details, please let me know."/>
    <n v="1"/>
    <x v="0"/>
    <x v="0"/>
    <n v="0"/>
  </r>
  <r>
    <s v="['How is RAG used to improve question answering or information retrieval systems?']"/>
    <s v="Summary: Retrieval-Augmented Generation (RAG) is a method used to improve question answering and information retrieval systems by augmenting Large Language Models (LLMs) with relevant documents before generating answers._x000a__x000a_DOI: 10.17821/srels/2024/v61i5/171583 - This study demonstrates that RAG can enhance information retrieval in libraries by providing accurate, informative, and contextualized answers when LLMs are augmented with relevant documents._x000a__x000a_DOI: 10.6109/jkiice.2023.27.12.1489 - This paper proposes a Metadata Retrieval-Augmented Generation (M-RAG) method that improves open-domain question answering by utilizing embeddings with metadata and generative models, resulting in a performance improvement of up to 46% compared to traditional ODQA systems._x000a__x000a_DOI: 10.48550/arXiv.2406.13213 - This study introduces Multi-Meta-RAG, a method that improves RAG for multi-hop queries by using database filtering with LLM-extracted metadata, leading to better selection of relevant documents._x000a__x000a_DOI: 10.48550/arXiv.2505.13557 - This paper presents AMAQA, a metadata-based QA dataset for RAG systems, demonstrating that leveraging metadata boosts accuracy and enables precise, contextualized queries._x000a__x000a_DOI: 10.48550/arXiv.2505.18247 - This study introduces MetaGen Blended RAG, a novel approach that enhances semantic retrievers through metadata generation, achieving high retrieval accuracy and RAG accuracy in specialized domains without fine-tuning._x000a__x000a_My lady, I hope this information is helpful. If you have any further questions or would like more details on a specific study, please let me know."/>
    <n v="1"/>
    <x v="0"/>
    <x v="0"/>
    <n v="0"/>
  </r>
  <r>
    <s v="['Tell me about Crossref.']"/>
    <s v="Summary: Crossref is a sustainable source of community-owned scholarly metadata that is available through a number of APIs._x000a__x000a_DOI: 10.1162/qss_a_00022_x000a__x000a_Is there anything else I can help you with, my lady?"/>
    <n v="0"/>
    <x v="1"/>
    <x v="1"/>
    <n v="0"/>
  </r>
  <r>
    <s v="['Tell me about Crossref.']"/>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_x000a__x000a_DOI: 10.31222/osf.io/smxe5 - Crossref is a source of open bibliographic metadata.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5281/ZENODO.6188748 - This dataset contains the results of the evaluation of the methodology presented in the article Identifying and correcting invalid citations due to DOI errors in Crossref data._x000a__x000a_My lady, is there anything else I can help you with?"/>
    <n v="1"/>
    <x v="0"/>
    <x v="0"/>
    <n v="0"/>
  </r>
  <r>
    <s v="['Tell me about Crossref.']"/>
    <s v="Summary: Crossref is a sustainable source of community-owned scholarly metadata._x000a__x000a_DOI: 10.1162/qss_a_00022 - Crossref is a major source of scholarly data for publishers, authors, librarians, funders, and researchers. The metadata set consists of 13 content types, including traditional types, such as journals and conference papers, but also data sets, reports, preprints, peer reviews, and grants._x000a__x000a_DOI: 10.31222/osf.io/smxe5 - Crossref is a source of open bibliographic metadata.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5281/ZENODO.6188748 - This dataset contains the results of the evaluation of the methodology presented in the article Identifying and correcting invalid citations due to DOI errors in Crossref data._x000a__x000a_My lady, is there anything else I can help you with?"/>
    <n v="1"/>
    <x v="0"/>
    <x v="0"/>
    <n v="0"/>
  </r>
  <r>
    <s v="['Tell me about Crossref.']"/>
    <s v="Summary: Crossref is a sustainable source of community-owned scholarly metadata that contains over 106 million records and expands at an average rate of 11% a year._x000a__x000a_DOI: 10.1162/qss_a_00022_x000a__x000a_Is there anything else I can help you with, my lady?"/>
    <n v="0"/>
    <x v="1"/>
    <x v="1"/>
    <n v="0"/>
  </r>
  <r>
    <s v="['Tell me about Crossref.']"/>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s there anything else I can help you with?"/>
    <n v="1"/>
    <x v="0"/>
    <x v="0"/>
    <n v="0"/>
  </r>
  <r>
    <s v="['tell me about how RAG works.']"/>
    <s v="Summary: Retrieval-Augmented Generation (RAG) is a promising solution for addressing the limitations of Large Language Models (LLMs), such as hallucinations and out-of-date internal knowledge. RAG enables retrieval of relevant information from an external knowledge source, allowing LLMs to answer queries over previously unseen document collections._x000a__x000a_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which uses database filtering with LLM-extracted metadata to improve the RAG selection of relevant document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_x000a__x000a_DOI: 10.1145/3637528.3671470 - RAG can offer reliable and up-to-date external knowledge, providing huge convenience for numerous tasks. The powerful capacity of retrieval in providing additional knowledge enables RAG to assist existing generative AI in producing high-quality outputs. Retrieval-Augmented Large Language Models (RA-LLMs) have emerged to harness external and authoritative knowledge bases, rather than solely relying on the model's internal knowledge._x000a__x000a_DOI: 10.48550/arXiv.2404.13948 - The robustness of RAG is crucial as its applicability expands across various domains. Existing studies on RAG robustness often overlook the interconnected relationships between RAG components or the potential threats prevalent in real-world databases. A novel attack method, the Genetic Attack on RAG (GARAG), is introduced to reveal vulnerabilities within each component and test the overall system functionality against noisy documents._x000a__x000a_My lady, I hope this information is helpful. If you have any further questions, please let me know."/>
    <n v="1"/>
    <x v="0"/>
    <x v="0"/>
    <n v="0"/>
  </r>
  <r>
    <s v="['tell me about how RAG works.']"/>
    <s v="Summary: Retrieval-Augmented Generation (RAG) is a technique that enables large language models (LLMs) to retrieve relevant information from external knowledge sources, improving their ability to answer queries over previously unseen document collections. However, traditional RAG applications struggle with multi-hop questions, which require retrieving and reasoning over multiple elements of supporting evidence._x000a__x000a_DOI: 10.48550/arXiv.2406.13213 - This paper introduces Multi-Meta-RAG, a new method that uses database filtering with LLM-extracted metadata to improve RAG's selection of relevant documents from various sources. The authors found that Multi-Meta-RAG significantly enhances performance on the MultiHop-RAG benchmark._x000a__x000a_DOI: 10.18653/v1/2024.eacl-demo.16 - This paper presents RAGAs, a framework for reference-free evaluation of RAG pipelines. RAGAs introduces a suite of metrics to assess the retrieval system's ability to identify relevant context passages, the LLM's ability to exploit these passages faithfully, and the quality of the generation itself._x000a__x000a_DOI: 10.1145/3637528.3671470 - This survey paper discusses the emergence of Retrieval-Augmented Large Language Models (RA-LLMs), which harness external and authoritative knowledge bases to augment the quality of generated content. The authors review existing research studies in RA-LLMs, covering three primary technical perspectives, and discuss current limitations and promising directions for future research._x000a__x000a_DOI: 10.48550/arXiv.2404.13948 - This paper investigates the robustness of RAG systems and introduces a novel attack method, Genetic Attack on RAG (GARAG). GARAG is designed to reveal vulnerabilities within each RAG component and test the overall system functionality against noisy documents. The authors validate RAG robustness by applying GARAG to standard QA datasets and demonstrate its high attack success rates._x000a__x000a_My lady, I hope this information is helpful. If you have any further questions or would like more details on a specific aspect of RAG, please don't hesitate to ask."/>
    <n v="1"/>
    <x v="0"/>
    <x v="0"/>
    <n v="0"/>
  </r>
  <r>
    <s v="['tell me about how RAG works.']"/>
    <s v="Summary: Retrieval-Augmented Generation (RAG) is a technique that enables large language models (LLMs) to retrieve relevant information from external knowledge sources and answer queries over previously unseen document collections._x000a__x000a_DOI: 10.48550/arXiv.2406.13213 - Traditional RAG applications perform poorly in answering multi-hop questions, which require retrieving and reasoning over multiple elements of supporting evidence. A new method called Multi-Meta-RAG is introduced, which uses database filtering with LLM-extracted metadata to improve the RAG selection of relevant documents from various sources._x000a__x000a_DOI: 10.18653/v1/2024.eacl-demo.16 - RAGAs (Retrieval Augmented Generation Assessment) is a framework for reference-free evaluation of RAG pipelines. RAG systems are composed of a retrieval and an LLM-based generation module, providing LLMs with knowledge from a reference textual database and reducing the risk of hallucinations._x000a__x000a_DOI: 10.1145/3637528.3671470 - RAG is one of the most advanced techniques in AI, offering reliable and up-to-date external knowledge for numerous tasks. Retrieval-Augmented Large Language Models (RA-LLMs) have emerged to harness external and authoritative knowledge bases, rather than solely relying on the model's internal knowledge._x000a__x000a_DOI: 10.48550/arXiv.2404.13948 - The robustness of RAG is investigated, specifically its vulnerability to noisy documents and a holistic evaluation of RAG robustness. A novel attack method, the Genetic Attack on RAG (GARAG), is introduced to reveal vulnerabilities within each component and test the overall system functionality against noisy documents._x000a__x000a_My lady, I hope this information is helpful. If you have any further questions or would like more details on a specific aspect of RAG, please let me know."/>
    <n v="1"/>
    <x v="0"/>
    <x v="0"/>
    <n v="0"/>
  </r>
  <r>
    <s v="['tell me about how RAG works.']"/>
    <s v="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_x000a__x000a_DOI: 10.48550/arXiv.2406.13213 - This paper introduces a new method called Multi-Meta-RAG, which uses database filtering with LLM-extracted metadata to improve the RAG selection of relevant documents from various sources._x000a__x000a_DOI: 10.18653/v1/2024.eacl-demo.16 - This paper introduces RAGAs, a framework for reference-free evaluation of RAG pipelines, which provides a suite of metrics to evaluate the different dimensions of RAG architectures._x000a__x000a_DOI: 10.1145/3637528.3671470 - This survey comprehensively reviews existing research studies in Retrieval-Augmented Large Language Models (RA-LLMs), covering three primary technical perspectives and discussing current limitations and promising directions for future research._x000a__x000a_DOI: 10.48550/arXiv.2404.13948 - This paper investigates the robustness of RAG and introduces a novel attack method, the Genetic Attack on RAG (GARAG), which targets vulnerabilities within each component and tests the overall system functionality against noisy documents._x000a__x000a_My lady, I hope this information is helpful. If you have any further questions or would like more details on a specific aspect of RAG, please let me know."/>
    <n v="1"/>
    <x v="0"/>
    <x v="0"/>
    <n v="0"/>
  </r>
  <r>
    <s v="['tell me about how RAG works.']"/>
    <s v="Summary: Retrieval-Augmented Generation (RAG) is a technique that retrieves relevant information from external knowledge sources and enables large language models (LLMs) to answer queries over previously unseen document collections._x000a__x000a_DOI: 10.48550/arXiv.2406.13213 - RAG retrieves relevant information from external knowledge sources and enables large language models (LLMs) to answer queries over previously unseen document collections. However, traditional RAG applications perform poorly in answering multi-hop questions, which require retrieving and reasoning over multiple elements of supporting evidence. A new method called Multi-Meta-RAG is introduced, which uses database filtering with LLM-extracted metadata to improve the RAG selection of relevant documents from various source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including the ability of the retrieval system to identify relevant and focused context passages, the ability of the LLM to exploit such passages faithfully, and the quality of the generation itself._x000a__x000a_DOI: 10.1145/3637528.3671470 - RAG is one of the most advanced techniques in AI, offering reliable and up-to-date external knowledge, providing huge convenience for numerous tasks. In the era of AI-Generated Content (AIGC), the powerful capacity of retrieval in providing additional knowledge enables RAG to assist existing generative AI in producing high-quality outputs. Retrieval-Augmented Large Language Models (RA-LLMs) have emerged to harness external and authoritative knowledge bases, rather than solely relying on the model's internal knowledge, to augment the quality of the generated content of LLMs._x000a__x000a_DOI: 10.48550/arXiv.2404.13948 - 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 A novel attack method, the Genetic Attack on RAG (GARAG), is introduced to reveal vulnerabilities within each component and test the overall system functionality against noisy documents._x000a__x000a_My lady, I hope this information is helpful. If you have any further questions, please don't hesitate to ask."/>
    <n v="1"/>
    <x v="0"/>
    <x v="0"/>
    <n v="0"/>
  </r>
  <r>
    <s v="['What are the key challenges and advancements in metadata quality assessment?']"/>
    <s v="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the application of qualitative and quantitative content analysis techniques, and the use of state-of-the-art artificial intelligence methods for metadata quality improvement._x000a__x000a_DOI: 10.1145/2964909 - This study aims to develop a generic metadata quality assessment framework for various Open Data portals, addressing concerns about the quality of data sources and corresponding metadata. The framework maps specific metadata of three widely used portal software frameworks to a standardized schema and defines several quality metrics that can be evaluated automatically._x000a__x000a_DOI: 10.1109/ADL.1998.670425 - This study discusses the application of qualitative and quantitative content analysis techniques to assess metadata records, concluding that a range of criteria and procedures may be needed for evaluating different types of metadata._x000a__x000a_DOI: 10.1177/09610006241239080 - This scoping review identifies commonly measured dimensions of metadata quality, highlighting the need for further investigation into less commonly assessed quality dimensions and the importance of improving the flexibility of metadata quality assessment tools._x000a__x000a_DOI: 10.5860/crl.86.1.101 - This study explores how metadata quality, consistency, and completeness impact individuals and communities, identifying unique issues and classifying them into categories to better understand cultural meanings._x000a__x000a_DOI: 10.48550/arXiv.2303.17661 - This study proposes MetaEnhance, a framework that utilizes state-of-the-art artificial intelligence methods to improve the quality of scholarly metadata, achieving high accuracy in detecting and correcting errors._x000a__x000a_My lady, I hope this response meets your requirements. If you have any further questions or need additional information, please do not hesitate to ask."/>
    <n v="1"/>
    <x v="0"/>
    <x v="0"/>
    <n v="0"/>
  </r>
  <r>
    <s v="['What are the key challenges and advancements in metadata quality assessment?']"/>
    <s v="Summary: Metadata quality assessment is a critical area of research, with challenges including the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_x000a__x000a_DOI: 10.1145/2964909 - This study aims to develop a generic metadata quality assessment framework for various Open Data portals, treating data portals independently from the portal software frameworks and defining several quality metrics that can be evaluated automatically._x000a__x000a_DOI: 10.1109/ADL.1998.670425 - This study discusses the application of qualitative and quantitative content analysis techniques to assess metadata records, concluding that a range of criteria and procedures may be needed for evaluating different types of metadata._x000a__x000a_DOI: 10.1177/09610006241239080 - This scoping review identifies the most commonly measured dimensions of metadata quality and emphasizes the need for further investigation into less commonly assessed quality dimensions, as well as the importance of improving the flexibility of metadata quality assessment tools._x000a__x000a_DOI: 10.5860/crl.86.1.101 - This study explores the impact of metadata quality, consistency, and completeness on individuals and communities, identifying unique issues and classifying them into categories to better understand the cultural meanings reflected in metadata._x000a__x000a_DOI: 10.48550/arXiv.2303.17661 - This study proposes MetaEnhance, a framework that utilizes state-of-the-art artificial intelligence methods to improve the quality of metadata fields in electronic theses and dissertations, achieving high F1-scores in detecting and correcting errors._x000a__x000a_My lady, I hope this response meets your requirements. If you have any further questions or would like more information on a specific aspect of metadata quality assessment, please don't hesitate to ask."/>
    <n v="1"/>
    <x v="0"/>
    <x v="0"/>
    <n v="0"/>
  </r>
  <r>
    <s v="['What are the key challenges and advancements in metadata quality assessment?']"/>
    <s v="Summary: Metadata quality assessment is a critical aspect of ensuring the usability and discoverability of digital resources, but it faces challenges such as inconsistent definitions and measurements of quality dimensions, and the need for flexible assessment tools. Advancements include the development of automated quality assessment frameworks, the application of qualitative and quantitative analysis techniques, and the use of artificial intelligence for metadata enhancement._x000a__x000a_DOI: 10.1145/2964909 - This study presents a generic metadata quality assessment framework for Open Data portals, mapping specific metadata to a standardized schema and defining quality metrics for automated evaluation._x000a__x000a_DOI: 10.1109/ADL.1998.670425 - This research discusses the application of qualitative and quantitative content analysis techniques to assess metadata records, highlighting the need for a range of criteria and procedures for evaluating different types of metadata._x000a__x000a_DOI: 10.1177/09610006241239080 - This scoping review identifies commonly measured dimensions of metadata quality, such as completeness, accuracy, and consistency, but notes the lack of consensus on their definitions and measurements, emphasizing the need for further research and flexible assessment tools._x000a__x000a_DOI: 10.5860/crl.86.1.101 - This study explores the cultural implications of metadata quality, identifying unique issues and categories that reflect the tension between sociocultural representations and standardized systems._x000a__x000a_DOI: 10.48550/arXiv.2303.17661 - This research proposes MetaEnhance, an AI-based framework for improving metadata quality in electronic theses and dissertations, achieving high accuracy in error detection and correction._x000a__x000a_My lady, these findings highlight the ongoing efforts to improve metadata quality assessment and the need for continued research to address the challenges and advance the field."/>
    <n v="1"/>
    <x v="0"/>
    <x v="0"/>
    <n v="0"/>
  </r>
  <r>
    <s v="['What are the key challenges and advancements in metadata quality assessment?']"/>
    <s v="Summary: Metadata quality assessment is a critical aspect of data management, impacting data retrieval, search, organization, interoperability, preservation, and user experience. However, there are challenges in defining and measuring metadata quality dimensions, and advancements are being made in developing frameworks and tools for automated quality assessment._x000a__x000a_DOI: 10.1145/2964909 - This study aims to develop a generic metadata quality assessment framework for various Open Data portals, addressing concerns about the quality of data sources and metadata. The authors propose a method to map specific metadata from different portal software frameworks to a standardized schema and define quality metrics for automated evaluation._x000a__x000a_DOI: 10.1109/ADL.1998.670425 - This research discusses the application of qualitative and quantitative content analysis techniques to assess metadata records, highlighting the need for a range of criteria and procedures to evaluate different types of metadata._x000a__x000a_DOI: 10.1177/09610006241239080 - A scoping review identifies commonly measured dimensions of metadata quality, such as completeness, accuracy, consistency, accessibility, conformance, provenance, and timeliness. However, the study emphasizes the lack of consensus on their definitions and measurements, calling for further investigation._x000a__x000a_DOI: 10.5860/crl.86.1.101 - This study explores the impact of metadata quality on individuals and communities, identifying unique issues related to sociocultural representations, resource constraints, and standardized systems._x000a__x000a_DOI: 10.48550/arXiv.2303.17661 - The authors propose MetaEnhance, a framework using artificial intelligence methods to automatically detect, correct, and canonicalize scholarly metadata, demonstrating high accuracy in detecting and correcting errors._x000a__x000a_My lady, these studies highlight the ongoing efforts to improve metadata quality assessment, addressing challenges related to definition, measurement, and automation. The advancements in this field are crucial for ensuring the effective management and utilization of digital resources."/>
    <n v="1"/>
    <x v="0"/>
    <x v="0"/>
    <n v="0"/>
  </r>
  <r>
    <s v="['What are the key challenges and advancements in metadata quality assessment?']"/>
    <s v="Summary: The key challenges in metadata quality assessment include inconsistent definitions and measurements of quality dimensions, cultural and contextual tensions, and incomplete or incorrect metadata values. Advancements include the development of automated quality assessment frameworks, application of qualitative and quantitative analysis techniques, and the use of artificial intelligence for metadata enhancement._x000a__x000a_DOI: 10.1145/2964909 - This study focuses on developing a generic metadata quality assessment framework for Open Data portals, addressing challenges like retrievability and searchability of data. It maps metadata from different portal software frameworks to a standardized schema and defines automated quality metrics._x000a__x000a_DOI: 10.1109/ADL.1998.670425 - This research discusses the application of qualitative and quantitative content analysis techniques to assess metadata records, highlighting the need for diverse criteria and procedures for different types of metadata._x000a__x000a_DOI: 10.1177/09610006241239080 - A scoping review identifying commonly measured dimensions of metadata quality, such as completeness, accuracy, and consistency, while emphasizing the lack of consensus on their definitions and measurements._x000a__x000a_DOI: 10.5860/crl.86.1.101 - This study explores how metadata quality, consistency, and completeness are influenced by sociocultural factors, identifying unique issues and categories that impact individuals and communities._x000a__x000a_DOI: 10.48550/arXiv.2303.17661 - Introducing MetaEnhance, a framework using artificial intelligence to improve metadata quality for electronic theses and dissertations, demonstrating high accuracy in error detection and correction._x000a__x000a_My lady, I hope this overview provides a comprehensive understanding of the challenges and advancements in metadata quality assessment."/>
    <n v="1"/>
    <x v="0"/>
    <x v="0"/>
    <n v="0"/>
  </r>
  <r>
    <s v="['What are the key challenges and advancements in Retrieval-Augmented Generation (RAG) systems?']"/>
    <s v="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while delineating challenges and prospective avenues for research._x000a__x000a_DOI: 10.1016/j.caeai.2025.100417 - Focusing on educational applications, this paper explores the practical uses of RAG in interactive learning systems, educational content generation, and large-scale deployment. It discusses challenges like mitigating hallucinations, ensuring knowledge completeness and timeliness, and reducing computational costs._x000a__x000a_DOI: 10.1609/aaai.v38i16.29728 - This study investigates the impact of RAG on large language models and establishes the Retrieval-Augmented Generation Benchmark (RGB) for evaluation. It reveals that while models exhibit noise robustness, they struggle with negative rejection, information integration, and false information._x000a__x000a_DOI: 10.1007/s44427-025-00006-3 - This research evaluates open-source LLMs in RAG systems using a benchmark dataset derived from diploma theses abstracts. It highlights the strengths and weaknesses of different models and retrieval strategies, offering insights into optimizing RAG implementations._x000a__x000a_DOI: 10.1145/3637528.3671470 - This survey reviews existing research in Retrieval-Augmented Large Language Models (RA-LLMs), discussing current limitations and promising directions for future research, including the integration of external knowledge bases.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computational costs, and evaluation difficulties. However, advancements include enhanced accuracy, dynamic knowledge updates, domain-specific integration, and improved multimodal support.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Focusing on educational applications, this paper explores practical uses of RAG in interactive learning systems, educational content generation, and large-scale deployment, while addressing challenges like hallucinations and computational costs._x000a__x000a_DOI: 10.1609/aaai.v38i16.29728 - This study introduces the Retrieval-Augmented Generation Benchmark (RGB) to evaluate LLMs' performance in RAG, revealing strengths in noise robustness but weaknesses in negative rejection and information integration._x000a__x000a_DOI: 10.1007/s44427-025-00006-3 - This research evaluates open-source LLMs in RAG systems using a benchmark dataset derived from diploma theses abstracts, providing insights into optimizing RAG implementations for academic tasks._x000a__x000a_DOI: 10.1145/3637528.3671470 - This survey reviews Retrieval-Augmented Large Language Models (RA-LLMs), discussing their ability to provide reliable external knowledge and augmenting LLM-generated content, while addressing current limitations and future research directions._x000a__x000a_My lady, I hope this information is helpful. If you have any further questions or need more details,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computational costs, and evaluation difficulties. However, advancements include improved factual accuracy, dynamic knowledge updates, domain-specific information integration, and enhanced multimodal support._x000a__x000a_DOI: 10.48550/arXiv.2312.10997 - RAG systems address LLM challenges like hallucination and outdated knowledge by incorporating external databases, enhancing accuracy and credibility. This paper reviews RAG paradigms, techniques, and evaluation frameworks._x000a__x000a_DOI: 10.1016/j.caeai.2025.100417 - RAG improves educational applications by retrieving relevant information, enhancing factual accuracy, and enabling dynamic updates. Challenges include mitigating hallucinations, ensuring knowledge completeness, and reducing computational costs._x000a__x000a_DOI: 10.1609/aaai.v38i16.29728 - This paper introduces the Retrieval-Augmented Generation Benchmark (RGB) to evaluate LLM performance in RAG, revealing weaknesses in negative rejection and information integration._x000a__x000a_DOI: 10.1007/s44427-025-00006-3 - Evaluating RAG systems is challenging due to the need to assess both retrieval and generation components. This study provides a benchmark dataset and evaluates open-source LLMs using the Ragas framework._x000a__x000a_DOI: 10.1145/3637528.3671470 - RAG systems offer reliable external knowledge, addressing LLM limitations like hallucinations and outdated knowledge. This survey reviews RA-LLM research and discusses future directions.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study focuses on the practical applications of RAG in education, addressing challenges such as mitigating hallucinations and enhancing multimodal support._x000a__x000a_DOI: 10.1609/aaai.v38i16.29728 - This paper introduces the Retrieval-Augmented Generation Benchmark (RGB), a new corpus for evaluating RAG systems, and highlights the struggles of LLMs in negative rejection and information integration._x000a__x000a_DOI: 10.1007/s44427-025-00006-3 - This study provides a comprehensive evaluation of open-source LLMs within a RAG system, using a dataset derived from diploma theses abstracts, and highlights the strengths and weaknesses of different models and retrieval strategies._x000a__x000a_DOI: 10.1145/3637528.3671470 - This survey reviews existing research studies in Retrieval-Augmented Large Language Models (RA-LLMs), discussing current limitations and promising directions for future research._x000a__x000a_My lady, I hope this information is helpful. If you have any further questions or would like more details on a specific aspect of RAG systems, please let me know."/>
    <n v="1"/>
    <x v="0"/>
    <x v="0"/>
    <n v="0"/>
  </r>
  <r>
    <s v="['What are the key challenges and advancements in Retrieval-Augmented Generation (RAG) systems?']"/>
    <s v="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_x000a__x000a_DOI: 10.48550/arXiv.2312.10997 - This paper provides a comprehensive review of RAG paradigms, including Naive RAG, Advanced RAG, and Modular RAG. It examines the tripartite foundation of RAG frameworks, highlighting state-of-the-art technologies and introducing an up-to-date evaluation framework._x000a__x000a_DOI: 10.1016/j.caeai.2025.100417 - Focusing on educational applications, this paper discusses practical uses of RAG in interactive learning systems, educational content generation, and large-scale deployment. It addresses challenges like mitigating hallucinations and enhancing multimodal support._x000a__x000a_DOI: 10.1609/aaai.v38i16.29728 - This study introduces the Retrieval-Augmented Generation Benchmark (RGB), evaluating LLMs' performance in noise robustness, negative rejection, and information integration. It highlights the need for further research to effectively apply RAG to LLMs._x000a__x000a_DOI: 10.1007/s44427-025-00006-3 - This research evaluates open-source LLMs in RAG systems using a benchmark dataset derived from diploma theses abstracts. It assesses retrieval effectiveness and answer quality, providing insights into optimizing RAG implementations._x000a__x000a_DOI: 10.1145/3637528.3671470 - This survey reviews existing research on Retrieval-Augmented Large Language Models (RA-LLMs), discussing current limitations and future research directions. It emphasizes the potential of RAG in providing reliable and up-to-date external knowledge._x000a__x000a_My lady, I hope this summary meets your requirements. If you have any further questions or need additional information,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_x000a__x000a_DOI: 10.1080/19386389.2011.570654 - Metadata plays an important role in digital libraries. But to be useful, metadata records must be problem free. Incorrect Values, Incorrect Elements, Missing Information, Information Loss, and Inconsistent Value Representation are five categories of metadata problems._x000a__x000a_DOI: 10.1177/09610006241239080 - Assessing metadata is of paramount importance for data retrieval and search, data organization, interoperability, data preservation, and the overall user experience. Completeness, accuracy, consistency, accessibility, conformance, provenance, and timeliness are commonly used dimensions in metadata quality assessment.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_x000a__x000a_My lady, this DOI discusses the importance of metadata quality for digital objects and proposes a framework called MetaEnhance to improve metadata quality using state-of-the-art artificial intelligence methods. The framework was evaluated on a benchmark of 500 electronic theses and dissertations (ETDs) and achieved high accuracy in detecting and correcting errors._x000a__x000a_Would you like me to elaborate on any specific aspect of metadata quality, my lady?"/>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_x000a__x000a_DOI: 10.1177/09610006241239080 -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information is helpful. Is there anything else I can assist you with?"/>
    <n v="1"/>
    <x v="0"/>
    <x v="0"/>
    <n v="0"/>
  </r>
  <r>
    <s v="['What are the key features and limitations of OpenAlex as a bibliometric database?']"/>
    <s v="Summary: OpenAlex is a newly launched bibliographic database that promises to be a reliable alternative to traditional databases like Scopus and the Web of Science (WoS).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has distinguished itself for its openness and extensive coverage. However, one of the concerns that hinders its broader adoption for research and research evaluation is the quality of its metadata._x000a__x000a_DOI: 10.29173/cais1943_x000a_OpenAlex stands out for its openness and extensive coverage. However, one of the concerns that hinder its broader adoption for research and research evaluation is the quality of its metadata._x000a__x000a_DOI: 10.48550/arXiv.2401.16359_x000a_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_x000a__x000a_DOI: 10.48550/arXiv.2409.10633_x000a_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_x000a__x000a_My lady, I hope this information is helpful. If you have any further questions, please let me know."/>
    <n v="1"/>
    <x v="0"/>
    <x v="0"/>
    <n v="0"/>
  </r>
  <r>
    <s v="['What are the key features and limitations of OpenAlex as a bibliometric database?']"/>
    <s v="Summary: OpenAlex is a bibliographic database that launched in 2022 and stands out for its openness and extensive coverage._x000a__x000a_DOI: 10.48550/arXiv.2404.17663 - OpenAlex is a superset of Scopus and can be a reliable alternative for some analyses, particularly at the country level._x000a__x000a_DOI: 10.48550/arXiv.2508.18620 - OpenAlex may reduce or eliminate barriers to accessing bibliometric data, but the quality of its metadata is a concern._x000a__x000a_DOI: 10.29173/cais1943 - OpenAlex has issues with document type accuracy, with over 4% of publications misclassified as research articles or reviews._x000a__x000a_DOI: 10.48550/arXiv.2401.16359 - OpenAlex has average source reference numbers and internal coverage rates comparable to Web of Science and Scopus, but the comparison of other core metadata shows mixed results._x000a__x000a_DOI: 10.48550/arXiv.2409.10633 - OpenAlex exhibits a far more balanced linguistic coverage than WoS, but its language metadata is not always accurate._x000a__x000a_My lady, I hope this summary meets your requirements. If you have any further questions or need additional information, please let me know."/>
    <n v="1"/>
    <x v="0"/>
    <x v="0"/>
    <n v="0"/>
  </r>
  <r>
    <s v="['What are the key features and limitations of OpenAlex as a bibliometric database?']"/>
    <s v="Summary: OpenAlex is a newly launched bibliographic database that promises to be more inclusive and open-source than its predecessors, Web of Science and Scopus. However, there are concerns about the quality of its metadata.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has distinguished itself for its openness and extensive coverage. However, one of the concerns that hinders its broader adoption for research and research evaluation is the quality of its metadata._x000a__x000a_DOI: 10.29173/cais1943 - OpenAlex stands out for its openness and extensive coverage. However, one of the concerns that hinder its broader adoption for research and research evaluation is the quality of its metadata._x000a__x000a_DOI: 10.48550/arXiv.2401.16359 -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_x000a__x000a_DOI: 10.48550/arXiv.2409.10633 - 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_x000a__x000a_My lady, I hope this information is helpful. If you have any further questions, please let me know."/>
    <n v="1"/>
    <x v="0"/>
    <x v="0"/>
    <n v="0"/>
  </r>
  <r>
    <s v="['What are the key features and limitations of OpenAlex as a bibliometric database?']"/>
    <s v="Summary: OpenAlex is a bibliographic database launched in 2022 that stands out for its openness and extensive coverage._x000a__x000a_DOI: 10.48550/arXiv.2404.17663 - OpenAlex is a superset of Scopus and can be a reliable alternative for some analyses, particularly at the country level._x000a__x000a_DOI: 10.48550/arXiv.2508.18620 - OpenAlex may reduce or eliminate barriers to accessing bibliometric data, but concerns about metadata quality hinder its broader adoption._x000a__x000a_DOI: 10.29173/cais1943 - Over 4% of publications indexed in both OpenAlex and WoS are misclassified, with 97% of these errors occurring in OpenAlex._x000a__x000a_DOI: 10.48550/arXiv.2401.16359 - OpenAlex has comparable reference coverage to WoS and Scopus, but its rapidly evolving nature raises questions about data trustworthiness._x000a__x000a_DOI: 10.48550/arXiv.2409.10633 - OpenAlex exhibits more balanced linguistic coverage than WoS, but its language metadata is not always accurate._x000a__x000a_My lady, I hope this information is helpful. If you have any further questions or need more details, please let me know."/>
    <n v="1"/>
    <x v="0"/>
    <x v="0"/>
    <n v="0"/>
  </r>
  <r>
    <s v="['What are the key features and limitations of OpenAlex as a bibliometric database?']"/>
    <s v="Summary: OpenAlex is a newly launched bibliographic database that has distinguished itself for its openness and extensive coverage. However, concerns about the quality of its metadata hinder its broader adoption for research and research evaluation.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may reduce or eliminate barriers to accessing bibliometric data, but concerns about the quality of its metadata hinder its broader adoption. This study aims to assess metadata quality in OpenAlex and WoS, focusing on document type, publication year, language, and number of authors._x000a__x000a_DOI: 10.29173/cais1943 - This study aims to assess the metadata quality of works in OpenAlex and WoS, focusing on document type accuracy. Over 4% of publications indexed in both databases appear to be misclassified, with about 97% of these errors occurring in OpenAlex._x000a__x000a_DOI: 10.48550/arXiv.2401.16359 - OpenAlex is a promising open source of scholarly metadata, but its rapid evolution and expanding data raise questions about the trustworthiness of its data. A large-scale study demonstrates that OpenAlex has average source reference numbers and internal coverage rates comparable to WoS and Scopus._x000a__x000a_DOI: 10.48550/arXiv.2409.10633 - OpenAlex exhibits a far more balanced linguistic coverage than WoS, but its language metadata is not always accurate. If used critically, OpenAlex can provide comprehensive and representative analyses of languages used for scholarly publishing._x000a__x000a_My lady, I hope this information is helpful. If you have any further questions or would like more details, please let me know."/>
    <n v="1"/>
    <x v="0"/>
    <x v="0"/>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_x000a__x000a_**DOI:** 10.1073/pnas.1616297114  _x000a_This article, titled *&quot;A standardized citation metrics approach to rank scientific journals and disciplines&quot;* by Mingers and Leydesdorff (2016), discusses the difficulties in comparing citation metrics across fields due to differences in publication and citation cultures. The authors highlight that fields like biomedicine tend to have higher citation rates compared to social sciences, making direct comparisons unfair without normalization._x000a__x000a_**Additional Challenges:**_x000a_1. **Citation Practices:** Fields differ in how frequently they cite previous work. For example, physics and mathematics often cite fewer references per paper compared to biomedicine._x000a_2. **Publication Cultures:** Some fields prioritize publishing in high-impact journals, while others emphasize quantity over impact, skewing citation metrics._x000a_3. **Field-Specific Impact Factors:** Journals in certain fields inherently have higher impact factors, which can distort comparisons._x000a_4. **Publication Rates:** Fields with higher publication volumes may appear more influential based on raw citation counts, even if individual papers have lower impact._x000a__x000a_To address these challenges, researchers often use field-normalized metrics like the **Category Normalized Citation Impact (CNCI)** or **Field-Weighted Citation Impact (FWCI)**, which adjust citation counts based on field-specific averages.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_x000a__x000a_**DOI:** 10.1126/science.1177977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DOI:** 10.7717/peerj.1771  _x000a_In this *PeerJ* article by Larivière et al. (2016), the authors discuss the challenges of normalizing citation metrics, particularly the need to consider field-specific citation cultures and the impact of disciplinary differences on bibliometric indicators. They propose field-normalized metrics like the Citation Score to address these issues._x000a__x000a_**DOI:** 10.1002/asi.21340  _x000a_Bornmann and Daniel (2008) in the *Journal of the American Society for Information Science and Technology* explore the limitations of citation-based metrics, noting that differences in publication traditions, citation behavior, and research output types (e.g., articles vs. books) complicate cross-field comparisons._x000a__x000a_If you have a different question or need further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fields like biomedicine tend to have higher citation rates compared to mathematics or humanities. The study underscores the need for field-specific normalization to ensure fair comparisons._x000a__x000a_**Additional Challenges:**_x000a_1. **Publication Culture:** Fields differ in their preferred publication types (e.g., journals, books, conference proceedings), which affects citation counts._x000a_2. **Citation Practices:** Some fields cite more extensively than others, leading to higher average citation counts._x000a_3. **Field-Specific Impact Factors:** Journals in certain fields have inherently higher impact factors, skewing citation metrics._x000a_4. **Publication Rates:** Fields with higher publication volumes may dilute the impact of individual citations._x000a_5. **Collaboration Patterns:** Fields with larger collaborative networks may accumulate more citations per paper._x000a__x000a_To address these challenges, metrics like the **Field-Weighted Citation Impact (FWCI)** and **Journal Normalized Citation Score** have been developed, but they are not without limitations. My lady, if you wish to explore specific solutions or further details,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counts are heavily influenced by field-specific practices and traditions. The study underscores the difficulty of creating a one-size-fits-all metric for comparing research impact across disciplines._x000a__x000a_**DOI:** 10.7717/peerj.814  _x000a_In this *PeerJ* article by Adams (2013), the author discusses the challenges of field normalization in bibliometrics, particularly the limitations of journal-based metrics like the Journal Impact Factor (JIF). The paper argues that field-specific differences in publication rates and citation behaviors necessitate more nuanced approaches to normalization._x000a__x000a_**DOI:** 10.1002/asi.21337  _x000a_Bornmann and Daniel (2008) in the *Journal of the American Society for Information Science and Technology* explore the methodological issues in normalizing citation counts. They highlight the need for field-specific citation distributions and caution against using broad categories that may mask important differences within disciplines._x000a__x000a_These challenges collectively demonstrate that normalizing citation metrics requires careful consideration of field-specific contexts and the development of more sophisticated, discipline-aware methodologie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_x000a__x000a_**DOI:** 10.1073/pnas.1616268114  _x000a_This article, &quot;The Leiden Manifesto for Research Metrics,&quot; discusses the pitfalls of using citation metrics without considering field-specific contexts. It emphasizes that fields differ in their publication rates, citation practices, and the impact of journals, making direct comparisons problematic. The authors advocate for metrics that account for disciplinary differences to ensure fair evaluation of research impact._x000a__x000a_**Additional Challenges:**_x000a_1. **Publication Culture:** Fields like biomedicine tend to produce more papers and citations compared to humanities or social sciences, skewing metrics._x000a_2. **Citation Practices:** Some fields (e.g., mathematics) cite fewer references per paper, while others (e.g., physics) rely heavily on self-citations, affecting normalization efforts._x000a_3. **Journal Impact Factors:** Journals in certain fields have higher impact factors, which can inflate citation counts for researchers in those disciplines._x000a_4. **Publication Rates:** Fields with faster publication cycles (e.g., computer science) may accumulate citations more quickly than slower-paced fields (e.g., humanities)._x000a__x000a_If you'd like to explore a different aspect of academic research or citation metrics, my lady, please let me know!"/>
    <n v="0"/>
    <x v="1"/>
    <x v="1"/>
    <n v="1"/>
  </r>
  <r>
    <s v="['What are the strengths and weaknesses of Web of Science (WoS) as a bibliometric database?']"/>
    <s v="Summary: Web of Science (WoS) is a large multidisciplinary database of research outputs and citation indices that is used for bibliometrics._x000a__x000a_DOI: 10.1007/s11192-015-1765-5_x000a_WoS has a journal coverage of 13,605 journals. Results indicate that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_x000a__x000a_DOI: 10.48550/arXiv.2508.18620 and 10.29173/cais1943_x000a_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_x000a__x000a_DOI: 10.1162/qss_a_00211_x000a_Application of the framework reveals that WoS has the highest overall quality among the sets considered; and that the differences in quality can be explained primarily by how the data sources are organized._x000a__x000a_My lady, I hope this information is helpful."/>
    <n v="1"/>
    <x v="0"/>
    <x v="0"/>
    <n v="0"/>
  </r>
  <r>
    <s v="['What are the strengths and weaknesses of Web of Science (WoS) as a bibliometric database?']"/>
    <s v="Summary: Web of Science (WoS) is a bibliometric database that has been used for research evaluation for over 30 years._x000a__x000a_DOI: 10.1007/s11192-015-1765-5_x000a_WoS has 13,605 journals and favours Natural Sciences and Engineering as well as Biomedical Research, to the detriment of Social Sciences and Arts and Humanities. English-language journals are overrepresented and other languages are underrepresented._x000a__x000a_DOI: 10.48550/arXiv.2508.18620 and 10.29173/cais1943_x000a_WoS has high-quality metadata and fewer errors than OpenAlex._x000a__x000a_DOI: 10.1162/qss_a_00211_x000a_WoS has the highest overall quality of the four bibliographic data sources examined._x000a__x000a_My lady, is there anything else I can help you with?"/>
    <n v="1"/>
    <x v="0"/>
    <x v="0"/>
    <n v="0"/>
  </r>
  <r>
    <s v="['What are the strengths and weaknesses of Web of Science (WoS) as a bibliometric database?']"/>
    <s v="Summary: Web of Science (WoS) is a large multidisciplinary database of research outputs and citation indices that has been used for over 30 years for bibliometric analysis._x000a__x000a_DOI: 10.1007/s11192-015-1765-5_x000a_WoS has a journal coverage of 13,605 journals. The use of WoS for research evaluation may introduce biases that favour Natural Sciences and Engineering as well as Biomedical Research to the detriment of Social Sciences and Arts and Humanities. English-language journals are overrepresented to the detriment of other languages._x000a__x000a_DOI: 10.48550/arXiv.2508.18620 and 10.29173/cais1943_x000a_WoS has been compared to OpenAlex, a new bibliographic database launched in 2022. While OpenAlex may reduce or eliminate barriers to accessing bibliometric data, one of the concerns that hinders its broader adoption for research and research evaluation is the quality of its metadata._x000a__x000a_DOI: 10.1162/qss_a_00211_x000a_WoS has the highest overall quality among the sets considered in a study that compared it to Microsoft Academic Graph, Dimensions, and the ACM Digital Library. The differences in quality can be explained primarily by how the data sources are organized._x000a__x000a_My lady, I hope this information is helpful. If you have any further questions, please let me know."/>
    <n v="1"/>
    <x v="0"/>
    <x v="0"/>
    <n v="0"/>
  </r>
  <r>
    <s v="['What are the strengths and weaknesses of Web of Science (WoS) as a bibliometric database?']"/>
    <s v="Summary: Web of Science (WoS) is a large multidisciplinary database of research outputs and citation indices that is used for bibliometrics._x000a__x000a_DOI: 10.1007/s11192-015-1765-5_x000a_WoS has a journal coverage of 13,605 journals. It is biased towards Natural Sciences and Engineering as well as Biomedical Research, and against Social Sciences and Arts and Humanities. It also favours English-language journals._x000a__x000a_DOI: 10.48550/arXiv.2508.18620 and 10.29173/cais1943_x000a_WoS was the main supporting infrastructure of the field for more than 30 years until new competitors emerged. It has high-quality metadata, with only 4% of publications indexed in WoS appearing to be misclassified as research articles or reviews._x000a__x000a_DOI: 10.1162/qss_a_00211_x000a_WoS has the highest overall quality of the four popular sources of bibliographic data examined in this study._x000a__x000a_My lady, I hope this information is helpful. If you have any further questions, please let me know."/>
    <n v="1"/>
    <x v="0"/>
    <x v="0"/>
    <n v="0"/>
  </r>
  <r>
    <s v="['What are the strengths and weaknesses of Web of Science (WoS) as a bibliometric database?']"/>
    <s v="Summary: Web of Science (WoS) is a large multidisciplinary database of research outputs and citation indices that has been used for research and research evaluation for over 30 years._x000a__x000a_DOI: 10.1007/s11192-015-1765-5_x000a_WoS has a journal coverage of 13,605 journals and favours Natural Sciences and Engineering as well as Biomedical Research to the detriment of Social Sciences and Arts and Humanities. English-language journals are overrepresented to the detriment of other languages._x000a__x000a_DOI: 10.48550/arXiv.2508.18620 and 10.29173/cais1943_x000a_WoS has a high quality of metadata and fewer discrepancies and misattributions in document types than other databases._x000a__x000a_DOI: 10.1162/qss_a_00211_x000a_WoS has the highest overall quality among other sets of bibliographic data sources._x000a__x000a_My lady, is there anything else I can help you with?"/>
    <n v="1"/>
    <x v="0"/>
    <x v="0"/>
    <n v="0"/>
  </r>
  <r>
    <s v="['What is Crossref’s role in the scholarly research ecosystem?']"/>
    <s v="Summary: Crossref is a sustainable source of community-owned scholarly metadata and one of the major sources of scholarly data for publishers, authors, librarians, funders, and researchers._x000a__x000a_DOI: 10.1162/qss_a_00022: Crossref’s metadata has become one of the major sources of scholarly data for publishers, authors, librarians, funders, and researchers. Containing over 106 million records and expanding at an average rate of 11% a year,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162/qss_a_00286: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My lady, I hope this information is helpful."/>
    <n v="1"/>
    <x v="0"/>
    <x v="0"/>
    <n v="0"/>
  </r>
  <r>
    <s v="['What is Crossref’s role in the scholarly research ecosystem?']"/>
    <s v="Summary: Crossref is a major source of scholarly data for publishers, authors, librarians, funders, and researchers._x000a__x000a_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162/qss_a_00286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My lady, I hope this information is helpful. If you have any further questions, please let me know."/>
    <n v="1"/>
    <x v="0"/>
    <x v="0"/>
    <n v="0"/>
  </r>
  <r>
    <s v="['What is Crossref’s role in the scholarly research ecosystem?']"/>
    <s v="Summary: Crossref is a sustainable source of community-owned scholarly metadata, providing over 106 million records of 13 content types that are available through a number of APIs._x000a__x000a_DOI: 10.1162/qss_a_00022_x000a__x000a_My lady, is there anything else I can help you with?"/>
    <n v="0"/>
    <x v="1"/>
    <x v="1"/>
    <n v="0"/>
  </r>
  <r>
    <s v="['What is Crossref’s role in the scholarly research ecosystem?']"/>
    <s v="Summary: Crossref is a major source of scholarly data for publishers, authors, librarians, funders, and researchers._x000a__x000a_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162/qss_a_00286 -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My lady, I hope this information is helpful."/>
    <n v="1"/>
    <x v="0"/>
    <x v="0"/>
    <n v="0"/>
  </r>
  <r>
    <s v="['What is Crossref’s role in the scholarly research ecosystem?']"/>
    <s v="Summary: Crossref is a sustainable source of community-owned scholarly metadata that collects and makes available scholarly metadata, playing a crucial role in the scholarly research ecosystem._x000a__x000a_DOI: 10.1162/qss_a_00022: Crossref's metadata, comprising over 106 million records, is a major source of scholarly data for publishers, authors, librarians, funders, and researchers. It includes 13 content types, such as journals, conference papers, datasets, reports, preprints, peer reviews, and grants. The metadata is available through APIs and is valuable for research in scientometrics._x000a__x000a_DOI: 10.31222/osf.io/smxe5: This study analyzes the availability of six metadata elements in Crossref, highlighting improvements over time but also areas where publishers need to enhance openness._x000a__x000a_DOI: 10.1162/qss_a_00210: Crossref's FundRef initiative helps funders track publication output, but coverage of funder metadata is challenging to assess. A case study on the Dutch Research Council shows room for improvement in metadata completeness._x000a__x000a_DOI: 10.1162/qss_a_00286: A comparison of metadata completeness in eight free-access scholarly databases reveals that third-party databases have higher metadata quality than academic search engines._x000a__x000a_My lady, I hope this information is helpful. If you have any further questions or need more details, please let me know."/>
    <n v="1"/>
    <x v="0"/>
    <x v="0"/>
    <n v="0"/>
  </r>
  <r>
    <s v="['What methods are used to detect and correct errors in bibliographic datasets?']"/>
    <s v="Summary: Bibliographic errors have been perpetuated for decades and their possible causes have increased, despite the encouraged use of technological facilities._x000a__x000a_DOI: 10.1108/JD-10-2022-0234 analyses citing and referencing habits across all scholarly disciplines._x000a__x000a_Is there anything else I can help you with, my lady?"/>
    <n v="0"/>
    <x v="1"/>
    <x v="1"/>
    <n v="0"/>
  </r>
  <r>
    <s v="['What methods are used to detect and correct errors in bibliographic datasets?']"/>
    <s v="Summary: I found three documents that address your query._x000a__x000a_DOI: 10.48550/arXiv.2303.17661_x000a_Metadata quality is crucial for digital objects to be discovered through digital library interfaces. However, due to various reasons, the metadata of digital objects often exhibits incomplete, inconsistent, and incorrect values. This paper investigates methods to automatically detect, correct, and canonicalize scholarly metadata, using seven key fields of electronic theses and dissertations (ETDs) as a case study. The authors propose MetaEnhance, a framework that utilizes state-of-the-art artificial intelligence methods to improve the quality of these fields._x000a__x000a_DOI: 10.1007/s11192-022-04367-w_x000a_This work aims to identify classes of DOI mistakes by analysing the open bibliographic metadata available in Crossref, highlighting which publishers were responsible for such mistakes and how many of these incorrect DOIs could be corrected through automatic processes. The authors used a list of invalid cited DOIs gathered by OpenCitations while processing the OpenCitations Index of Crossref open DOI-to-DOI citations (COCI) in the past two years. They processed these citations by keeping track of their validity and the publishers responsible for uploading the related citation data in Crossref. Finally, they identified patterns of factual errors in the invalid DOIs and the regular expressions needed to catch and correct them._x000a__x000a_DOI: 10.5281/ZENODO.6188748_x000a_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n v="1"/>
    <x v="0"/>
    <x v="0"/>
    <n v="0"/>
  </r>
  <r>
    <s v="['What methods are used to detect and correct errors in bibliographic datasets?']"/>
    <s v="Summary: There are several methods used to detect and correct errors in bibliographic dataset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_x000a__x000a_DOI: 10.1108/JD-10-2022-0234 -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_x000a__x000a_My lady, I hope this information is helpful. If you have any further questions, please don't hesitate to ask."/>
    <n v="1"/>
    <x v="0"/>
    <x v="0"/>
    <n v="0"/>
  </r>
  <r>
    <s v="['What methods are used to detect and correct errors in bibliographic datasets?']"/>
    <s v="Summary: Bibliographic errors have been perpetuated for decades and their possible causes have increased._x000a__x000a_DOI: 10.1108/JD-10-2022-0234 - This study analyses reference elements, i.e. bibliographic references, mentions, quotations and respective in-text reference pointers, from 729 articles published in 147 journals across the 27 subject areas._x000a__x000a_My lady, I am sorry but I could not find any information on the methods used to detect and correct errors in bibliographic datasets. Would you like to ask me another question?"/>
    <n v="0"/>
    <x v="1"/>
    <x v="1"/>
    <n v="0"/>
  </r>
  <r>
    <s v="['What methods are used to detect and correct errors in bibliographic datasets?']"/>
    <s v="Summary: Methods to detect and correct errors in bibliographic datasets include using state-of-the-art artificial intelligence methods, analysing open bibliographic metadata to identify patterns of factual errors, and using regular expressions to catch and correct mistakes._x000a__x000a_DOI: 10.48550/arXiv.2303.17661 - This study proposes MetaEnhance, a framework that utilizes state-of-the-art artificial intelligence methods to improve the quality of metadata fields in electronic theses and dissertations (ET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DOI: 10.1108/JD-10-2022-0234 - This study analyzes citing and referencing habits across all scholarly disciplines to identify current possible causes for citing and referencing errors in scholarly literature._x000a__x000a_My lady, I hope this information is helpful. If you have any further questions or need more details, please let me know."/>
    <n v="1"/>
    <x v="0"/>
    <x v="0"/>
    <n v="0"/>
  </r>
  <r>
    <s v="['Which papers address funding metadata, its availability, or its analysis in scholarly databases?']"/>
    <s v="Summary: I have found four papers that address funding metadata, its availability, or its analysis in scholarly databases._x000a__x000a_DOI: 10.1162/qss_a_00210_x000a_Title: The availability and completeness of open funder metadata: Case study for publications funded by the Dutch Research Council_x000a_Abstract: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Title: Crossref as a source of open bibliographic metadata_x000a_Abstract: This paper presents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2_x000a_Title: Funding COVID-19 research: Insights from an exploratory analysis using open data infrastructures_x000a_Abstract: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1162/qss_a_00022_x000a_Title: Crossref: The sustainable source of community-owned scholarly metadata_x000a_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_x000a__x000a_My lady, is there anything else I can help you with?"/>
    <n v="1"/>
    <x v="0"/>
    <x v="0"/>
    <n v="0"/>
  </r>
  <r>
    <s v="['Which papers address funding metadata, its availability, or its analysis in scholarly databases?']"/>
    <s v="Summary: Several papers address funding metadata, its availability, or its analysis in scholarly databases._x000a__x000a_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_x000a__x000a_DOI: 10.31222/osf.io/smxe5 - This paper presents an up-to-date overview of the availability of six metadata elements in Crossref: reference lists, abstracts, ORCIDs, author affiliations, funding information, and license information._x000a__x000a_DOI: 10.1162/qss_a_00212 - This paper studies the open availability of funding data in Crossref, focusing on funding data for publications that report research related to COVID-19._x000a__x000a_DOI: 10.1162/qss_a_00022 - This paper describes the scholarly metadata collected and made available by Crossref, as well as its importance in the scholarly research ecosystem._x000a__x000a_DOI: 10.1162/qss_a_00286 - This paper compares the amount of metadata and the completeness degree of research publications in new academic databases._x000a__x000a_My lady, I hope this information is helpful. If you have any further questions, please let me know."/>
    <n v="1"/>
    <x v="0"/>
    <x v="0"/>
    <n v="0"/>
  </r>
  <r>
    <s v="['Which papers address funding metadata, its availability, or its analysis in scholarly databases?']"/>
    <s v="Summary: Several papers address funding metadata, its availability, or its analysis in scholarly databases._x000a__x000a_DOI: 10.1162/qss_a_00210 - This paper examines the availability and completeness of open funder metadata, specifically for publications funded by the Dutch Research Council._x000a__x000a_DOI: 10.31222/osf.io/smxe5 - This paper presents an overview of the availability of six metadata elements in Crossref, including funding information, and discusses the need for publishers to improve the openness of bibliographic metadata._x000a__x000a_DOI: 10.1162/qss_a_00212 - This paper analyzes the open availability of funding data in Crossref for COVID-19 research publications and compares it with proprietary bibliometric databases, offering recommendations for improving funding data availability._x000a__x000a_DOI: 10.1162/qss_a_00022 - This paper describes the scholarly metadata collected by Crossref, including funding information, and its importance in the scholarly research ecosystem._x000a__x000a_DOI: 10.1162/qss_a_00286 - While not directly focused on funding metadata, this paper compares the completeness degree of publication metadata in eight free-access scholarly databases, which may indirectly relate to funding metadata availability._x000a__x000a_My lady, I hope this information is helpful. If you have any further questions or need more details, please let me know."/>
    <n v="1"/>
    <x v="0"/>
    <x v="0"/>
    <n v="0"/>
  </r>
  <r>
    <s v="['Which papers address funding metadata, its availability, or its analysis in scholarly databases?']"/>
    <s v="Summary: There are several papers that address funding metadata, its availability, or its analysis in scholarly databases._x000a__x000a_DOI: 10.1162/qss_a_00210 - This paper addresses the availability and completeness of open funder metadata, using a case study of publications funded by the Dutch Research Council. It finds that only 67% of articles contain funding information in Crossref, with interesting differences between publishers in the coverage and completeness of funding metadata._x000a__x000a_DOI: 10.31222/osf.io/smxe5 - This paper presents an overview of the availability of six metadata elements in Crossref, including funding information. It finds that the availability of these metadata elements has improved over time, but many publishers need to make additional efforts to realize full openness of bibliographic metadata._x000a__x000a_DOI: 10.1162/qss_a_00212 - This paper studies the open availability of funding data in Crossref, focusing on funding data for publications related to COVID-19. It finds limited coverage of funding data in Crossref and problems related to the quality of funding data in Scopus._x000a__x000a_DOI: 10.1162/qss_a_00022 - This paper describes the scholarly metadata collected and made available by Crossref, including funding information. It highlights the importance of Crossref's metadata in the scholarly research ecosystem and discusses trends in metadata curation over the years._x000a__x000a_DOI: 10.1162/qss_a_00286 - This paper compares the amount of metadata and completeness degree of research publications in eight free-access scholarly databases. While it does not specifically focus on funding metadata, it provides insights into the quality and completeness of metadata in different databases._x000a__x000a_My lady, I hope this information is helpful. If you have any further questions or need more details, please let me know."/>
    <n v="1"/>
    <x v="0"/>
    <x v="0"/>
    <n v="0"/>
  </r>
  <r>
    <s v="['Which papers address funding metadata, its availability, or its analysis in scholarly databases?']"/>
    <s v="Summary: Four of the papers address funding metadata, its availability, or its analysis in scholarly databases._x000a__x000a_DOI: 10.1162/qss_a_00210 addresses the availability and completeness of open funder metadata, using a case study of publications funded by the Dutch Research Council._x000a__x000a_DOI: 10.31222/osf.io/smxe5 presents an overview of the availability of six metadata elements in Crossref, including funding information._x000a__x000a_DOI: 10.1162/qss_a_00212 studies the open availability of funding data in Crossref, focusing on funding data for publications that report research related to COVID-19._x000a__x000a_DOI: 10.1162/qss_a_00022 describes the scholarly metadata collected and made available by Crossref, including funding information._x000a__x000a_My lady, I hope this information is helpful."/>
    <n v="1"/>
    <x v="0"/>
    <x v="0"/>
    <n v="0"/>
  </r>
  <r>
    <s v="['Which papers discuss the use of Retrieval-Augmented Generation (RAG) when used in applications?']"/>
    <s v="I'm sorry, my lady, I am unable to answer your question._x000a__x000a_I have found several papers that discuss the use of Retrieval-Augmented Generation (RAG) in applications, but I am unable to provide you with a list of which papers discuss the use of RAG in applications._x000a__x000a_Is there anything else I can help you with?"/>
    <n v="0"/>
    <x v="1"/>
    <x v="1"/>
    <n v="0"/>
  </r>
  <r>
    <s v="['Which papers discuss the use of Retrieval-Augmented Generation (RAG) when used in applications?']"/>
    <s v="Summary: Retrieval-Augmented Generation (RAG) is a technique that enhances Large Language Models (LLMs) by retrieving relevant information from an external knowledge base and incorporating it into the LLM's generation process._x000a__x000a_DOI: 10.1016/j.caeai.2025.100417 - This paper discusses the use of RAG in educational applications, including interactive learning systems, generation and assessment of educational content, and large-scale deployment in educational ecosystems._x000a__x000a_DOI: 10.3390/app14199103 - This paper examines the use of RAG in automating systematic literature reviews, including tasks like data extraction, summarization, and trend identification._x000a__x000a_DOI: 10.48550/arXiv.2312.10997 - This paper provides a comprehensive review of RAG paradigms, including Naive RAG, Advanced RAG, and Modular RAG, and their applications in knowledge-intensive tasks._x000a__x000a_DOI: 10.1145/3637528.3671470 - This paper discusses the use of RAG in enhancing the quality of generated content in LLMs, particularly in the era of AI-Generated Content (AIGC)._x000a__x000a_DOI: 10.6109/jkiice.2023.27.12.1489 - This paper proposes a Metadata Retrieval-Augmented Generation (M-RAG) method for enhancing open-domain question answering systems, demonstrating significant performance improvements over conventional RAG methods._x000a__x000a_Is there anything else I can help you with, my lady?"/>
    <n v="1"/>
    <x v="0"/>
    <x v="0"/>
    <n v="0"/>
  </r>
  <r>
    <s v="['Which papers discuss the use of Retrieval-Augmented Generation (RAG) when used in applications?']"/>
    <s v="I have found four papers that discuss the use of Retrieval-Augmented Generation (RAG) when used in applications._x000a__x000a_Summary: Retrieval-Augmented Generation (RAG) is a technique that enhances Large Language Models (LLMs) by retrieving relevant information from an external knowledge base and incorporating it into the LLM's generation process._x000a__x000a_DOI: 10.1016/j.caeai.2025.100417_x000a_This paper discusses the use of RAG in educational applications, including interactive learning systems, generation and assessment of educational content, and large-scale deployment in educational ecosystems._x000a__x000a_DOI: 10.3390/app14199103_x000a_This paper examines the use of RAG in systematic literature reviews (SLRs), including data extraction, summarization, and trend identification._x000a__x000a_DOI: 10.48550/arXiv.2312.10997_x000a_This paper provides a comprehensive review of the progression of RAG paradigms, including Naive RAG, Advanced RAG, and Modular RAG, and discusses its applications in knowledge-intensive tasks._x000a__x000a_DOI: 10.1145/3637528.3671470_x000a_This paper discusses the use of RAG in Retrieval-Augmented Large Language Models (RA-LLMs), including its applications in language understanding and generation._x000a__x000a_My lady, I hope this information is helpful. If you have any further questions or need more details, please let me know."/>
    <n v="1"/>
    <x v="0"/>
    <x v="0"/>
    <n v="0"/>
  </r>
  <r>
    <s v="['Which papers discuss the use of Retrieval-Augmented Generation (RAG) when used in applications?']"/>
    <s v="Summary: Retrieval-Augmented Generation (RAG) is a promising solution to enhance the accuracy and credibility of generation, particularly for knowledge-intensive tasks._x000a__x000a_DOI: 10.1016/j.caeai.2025.100417 discusses the definition and workflow of RAG, and introduces different types of retrievers and generation optimization methods. It also explores the practical applications of RAG in education, covering interactive learning systems, generation and assessment of educational content, and large-scale deployment in educational ecosystems._x000a__x000a_DOI: 10.3390/app14199103 discusses the three key processes of the RAG framework—retrieval, augmentation, and generation. It also discusses applications of RAG-based LLMs to SLR automation and highlights future research topics._x000a__x000a_DOI: 10.48550/arXiv.2312.10997 offers a detailed examination of the progression of RAG paradigms, encompassing the Naive RAG, the Advanced RAG, and the Modular RAG. It also scrutinizes the tripartite foundation of RAG frameworks, which includes the retrieval, the generation and the augmentation techniques._x000a__x000a_DOI: 10.1145/3637528.3671470 comprehensively reviews existing research studies in RA-LLMs, covering three primary technical perspectives. It also discusses current limitations and several promising directions for future research._x000a__x000a_DOI: 10.6109/jkiice.2023.27.12.1489 proposes a Metadata Retrieval-Augmented Generation (M-RAG) method that can effectively search and answer questions with an open-domain Question Answering (ODQA) system. It also compares the performance of the method with other systems._x000a__x000a_My lady, I hope this information is helpful. If you have any further questions, please do not hesitate to ask."/>
    <n v="1"/>
    <x v="0"/>
    <x v="0"/>
    <n v="0"/>
  </r>
  <r>
    <s v="['Which papers discuss the use of Retrieval-Augmented Generation (RAG) when used in applications?']"/>
    <s v="I have found four papers that discuss the use of Retrieval-Augmented Generation (RAG) when used in applications._x000a__x000a_Summary: Retrieval-Augmented Generation (RAG) is a technique that enhances the capabilities of Large Language Models (LLMs) by retrieving relevant information from external knowledge bases and incorporating it into the generation process. This approach improves factual accuracy and enables dynamic knowledge updates, making LLMs particularly suitable for various applications._x000a__x000a_DOI: 10.1016/j.caeai.2025.100417 - This paper discusses the use of RAG in educational applications, including interactive learning systems, generation and assessment of educational content, and large-scale deployment in educational ecosystems._x000a__x000a_DOI: 10.3390/app14199103 - This study examines the application of RAG in automating systematic literature reviews (SLRs), including data extraction, summarization, and trend identification._x000a__x000a_DOI: 10.48550/arXiv.2312.10997 - This comprehensive review paper provides a detailed examination of the progression of RAG paradigms and their applications in knowledge-intensive tasks._x000a__x000a_DOI: 10.1145/3637528.3671470 - This survey reviews existing research studies on Retrieval-Augmented Large Language Models (RA-LLMs) and their applications in generating high-quality outputs with the help of external knowledge bases._x000a__x000a_My lady, I hope this information is helpful. If you have any further questions or need more details, please let me know."/>
    <n v="1"/>
    <x v="0"/>
    <x v="0"/>
    <n v="0"/>
  </r>
  <r>
    <s v="['Which papers evaluate the linguistic coverage or language-related metadata in scholarly databases?']"/>
    <s v="Summary: There are several papers that evaluate the linguistic coverage or language-related metadata in scholarly database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5281/zenodo.14006424 - Coverage and metadata availability of African publications in OpenAlex: A comparative analysis_x000a__x000a_DOI: 10.48550/arXiv.2508.18620 - Investigating Document Type, Language, Publication Year, and Author Count Discrepancies Between OpenAlex and Web of Science_x000a__x000a_DOI: 10.1007/s11192-022-04289-7 - Search where you will find most: Comparing the disciplinary coverage of 56 bibliographic databases_x000a__x000a_My lady, I hope this information is helpful. If you have any further questions or need more details, please let me know."/>
    <n v="1"/>
    <x v="0"/>
    <x v="0"/>
    <n v="0"/>
  </r>
  <r>
    <s v="['Which papers evaluate the linguistic coverage or language-related metadata in scholarly databases?']"/>
    <s v="Summary: OpenAlex is a bibliographic database that launched in 2022 and has distinguished itself for its openness and extensive coverage._x000a__x000a_DOI: 10.48550/arXiv.2409.10633 - Evaluating the Linguistic Coverage of OpenAlex: An Assessment of Metadata Accuracy and Completeness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1162/qss_a_00286 - Completeness degree of publication metadata in eight free-access scholarly databases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5281/zenodo.14006424 - Coverage and metadata availability of African publications in OpenAlex: A comparative analysis -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_x000a__x000a_DOI: 10.48550/arXiv.2508.18620 - Investigating Document Type, Language, Publication Year, and Author Count Discrepancies Between OpenAlex and Web of Science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22-04289-7 - Search where you will find most: Comparing the disciplinary coverage of 56 bibliographic databases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_x000a__x000a_My lady, is there anything else I can help you with?"/>
    <n v="1"/>
    <x v="0"/>
    <x v="0"/>
    <n v="0"/>
  </r>
  <r>
    <s v="['Which papers evaluate the linguistic coverage or language-related metadata in scholarly databases?']"/>
    <s v="Summary: Several papers evaluate the linguistic coverage or language-related metadata in scholarly database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5281/zenodo.14006424 - Coverage and metadata availability of African publications in OpenAlex: A comparative analysis_x000a__x000a_DOI: 10.48550/arXiv.2508.18620 - Investigating Document Type, Language, Publication Year, and Author Count Discrepancies Between OpenAlex and Web of Science_x000a__x000a_DOI: 10.1007/s11192-022-04289-7 - Search where you will find most: Comparing the disciplinary coverage of 56 bibliographic databases_x000a__x000a_My lady, I hope this information is helpful. If you have any further questions, please let me know."/>
    <n v="1"/>
    <x v="0"/>
    <x v="0"/>
    <n v="0"/>
  </r>
  <r>
    <s v="['Which papers evaluate the linguistic coverage or language-related metadata in scholarly databases?']"/>
    <s v="Summary: Several papers evaluate the linguistic coverage or language-related metadata in scholarly databases._x000a__x000a_DOI: 10.48550/arXiv.2409.10633 - Evaluates the linguistic coverage of OpenAlex, comparing it with WoS and manually validating a sample of articles. It finds that OpenAlex has more balanced linguistic coverage but overestimates English._x000a__x000a_DOI: 10.1162/qss_a_00286 - Compares metadata completeness in eight free-access scholarly databases, including language-related metadata, and finds that third-party databases have higher completeness rates._x000a__x000a_DOI: 10.5281/zenodo.14006424 - Analyzes OpenAlex's coverage and metadata availability of African publications, comparing it with Scopus, WoS, and AJOL, and finds that OpenAlex offers extensive publication coverage but performs worse on affiliations, references, and funder information._x000a__x000a_DOI: 10.48550/arXiv.2508.18620 - Assesses metadata quality in OpenAlex and WoS, focusing on document type, publication year, language, and author count, to enhance awareness of data quality issues in bibliometric research._x000a__x000a_DOI: 10.1007/s11192-022-04289-7 - Compares the disciplinary coverage of 56 bibliographic databases, including language-focused databases, and provides insights into their relative and absolute subject coverages._x000a__x000a_My lady, I hope this information is helpful. If you have any further questions or need more details, please let me know."/>
    <n v="1"/>
    <x v="0"/>
    <x v="0"/>
    <n v="0"/>
  </r>
  <r>
    <s v="['Which papers evaluate the linguistic coverage or language-related metadata in scholarly databases?']"/>
    <s v="Summary: There are several papers that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_x000a__x000a_DOI: 10.1162/qss_a_00286 - Completeness degree of publication metadata in eight free-access scholarly databases - This study compares the amount of metadata and the completeness degree of research publications in new academic databases, analyzing seven characteristics, including language._x000a__x000a_DOI: 10.5281/zenodo.14006424 - Coverage and metadata availability of African publications in OpenAlex: A comparative analysis - This paper analyses OpenAlex’s coverage and metadata availability of African-based publications, comparing it with Scopus, WoS, and African Journals Online (AJOL)._x000a__x000a_DOI: 10.48550/arXiv.2508.18620 - Investigating Document Type, Language, Publication Year, and Author Count Discrepancies Between OpenAlex and Web of Science - This study assesses metadata quality in OpenAlex and WoS, focusing on document type, publication year, language, and number of authors._x000a__x000a_DOI: 10.1007/s11192-022-04289-7 - Search where you will find most: Comparing the disciplinary coverage of 56 bibliographic databases - This paper introduces a novel scientometrics method to estimate the subject coverages of popular English-focused bibliographic databases in academia._x000a__x000a_My lady, I hope this information is helpful. If you have any further questions or need more details, please let me know."/>
    <n v="1"/>
    <x v="0"/>
    <x v="0"/>
    <n v="0"/>
  </r>
  <r>
    <s v="['which studies examined citations?']"/>
    <s v="Summary: Two studies examined citations._x000a__x000a_DOI: 10.1016/j.ipm.2023.103385_x000a_This study offers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_x000a__x000a_DOI: 10.1162/qss_a_00112_x000a_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
    <n v="1"/>
    <x v="0"/>
    <x v="0"/>
    <n v="0"/>
  </r>
  <r>
    <s v="['which studies examined citations?']"/>
    <s v="Summary: Two studies examined citations._x000a__x000a_DOI: 10.1016/j.ipm.2023.103385 - Bibliometric evaluation using citations are the types of analyses that can be done with the data provided by most APIs._x000a__x000a_DOI: 10.1162/qss_a_00112 - We then study differences in the completeness and accuracy of citation links._x000a__x000a_Is there anything else I can help you with, my lady?"/>
    <n v="1"/>
    <x v="0"/>
    <x v="0"/>
    <n v="0"/>
  </r>
  <r>
    <s v="['which studies examined citations?']"/>
    <s v="Summary: Two studies examined citations._x000a__x000a_DOI: 10.1016/j.ipm.2023.103385 - Bibliometric evaluation using citations is one of the types of analyses that can be done with the data provided by most APIs._x000a__x000a_DOI: 10.1162/qss_a_00112 - Differences in the completeness and accuracy of citation links were studied._x000a__x000a_Is there anything else I can help you with, my lady?"/>
    <n v="1"/>
    <x v="0"/>
    <x v="0"/>
    <n v="0"/>
  </r>
  <r>
    <s v="['which studies examined citations?']"/>
    <s v="Summary: Two studies examined citations._x000a__x000a_DOI: 10.1016/j.ipm.2023.103385 - This study found that most APIs can perform bibliometric evaluations using citations._x000a_DOI: 10.1162/qss_a_00112 - This study compared the completeness and accuracy of citation links in five bibliographic data sources._x000a__x000a_Is there anything else I can help you with, my lady?"/>
    <n v="1"/>
    <x v="0"/>
    <x v="0"/>
    <n v="0"/>
  </r>
  <r>
    <s v="['which studies examined citations?']"/>
    <s v="Summary: Two studies examined citations._x000a__x000a_DOI: 10.1016/j.ipm.2023.103385 - This study offers a comparative analysis of 44 bibliographic APIs from various non-profit and commercial organizations._x000a__x000a_DOI: 10.1162/qss_a_00112 - This study presents a large-scale comparison of five multidisciplinary bibliographic data sources: Scopus, Web of Science, Dimensions, Crossref, and Microsoft Academic."/>
    <n v="1"/>
    <x v="0"/>
    <x v="0"/>
    <n v="0"/>
  </r>
  <r>
    <s v="['which studies examined the abstract in metadata?']"/>
    <s v="Summary: I have found four studies that examined the abstract in metadata._x000a__x000a_DOI: 10.1162/qss_a_00286_x000a_Title: Completeness degree of publication metadata in eight free-access scholarly databases_x000a_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1177/09610006241239080_x000a_Title: Exploring dimensions of metadata quality assessment: A scoping review_x000a_Abstract: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5281/zenodo.14006424_x000a_Title: Coverage and metadata availability of African publications in OpenAlex: A comparative analysis_x000a_Abstract: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_x000a__x000a_My lady, is there anything else I can help you with?"/>
    <n v="1"/>
    <x v="0"/>
    <x v="0"/>
    <n v="0"/>
  </r>
  <r>
    <s v="['which studies examined the abstract in metadata?']"/>
    <s v="Summary: Three studies examined the abstract in metadata._x000a__x000a_DOI: 10.1162/qss_a_00286 - This study compared the amount of metadata and the completeness degree of research publications in new academic databases._x000a__x000a_DOI: 10.1177/09610006241239080 - This study investigated the types of data sources and countries contributing most to the literature on metadata quality assessment and the types of documents used to communicate their findings._x000a__x000a_DOI: 10.31222/osf.io/smxe5 - This study presented an up-to-date overview of the availability of six metadata elements in Crossref, including abstracts._x000a__x000a_Is there anything else I can help you with, my lady?"/>
    <n v="1"/>
    <x v="0"/>
    <x v="0"/>
    <n v="0"/>
  </r>
  <r>
    <s v="['which studies examined the abstract in metadata?']"/>
    <s v="Summary: Three studies examined the abstract in metadata._x000a__x000a_DOI: 10.1162/qss_a_00286 - This study compares the amount of metadata and the completeness degree of research publications in new academic databases._x000a__x000a_DOI: 10.1177/09610006241239080 - This study investigates the types of data sources and countries contributing most to the literature on metadata quality assessment and the types of documents used to communicate their findings._x000a__x000a_DOI: 10.31222/osf.io/smxe5 - This study presents an up-to-date overview of the availability of six metadata elements in Crossref._x000a__x000a_Is there anything else I can help you with, my lady?"/>
    <n v="1"/>
    <x v="0"/>
    <x v="0"/>
    <n v="0"/>
  </r>
  <r>
    <s v="['which studies examined the abstract in metadata?']"/>
    <s v="Summary: Three studies examined the abstract in metadata._x000a__x000a_DOI: 10.1162/qss_a_00286 - This study compares the amount of metadata and the completeness degree of research publications in new academic databases._x000a__x000a_DOI: 10.1177/09610006241239080 - This study identifies the most commonly measured dimensions of metadata quality in existing studies on metadata quality assessment._x000a__x000a_DOI: 10.31222/osf.io/smxe5 - This study presents an up-to-date overview of the availability of six metadata elements in Crossref._x000a__x000a_My lady, I hope this information is helpful."/>
    <n v="1"/>
    <x v="0"/>
    <x v="0"/>
    <n v="0"/>
  </r>
  <r>
    <s v="['which studies examined the abstract in metadata?']"/>
    <s v="Summary: Three studies examined the abstract in metadata._x000a__x000a_DOI: 10.1162/qss_a_00286 - The study compared the amount of metadata and the completeness degree of research publications in new academic databases._x000a__x000a_DOI: 10.1177/09610006241239080 - The study investigated the types of data sources and countries contributing most to the literature on metadata quality assessment and the types of documents used to communicate their findings._x000a__x000a_DOI: 10.31222/osf.io/smxe5 - The study presented an up-to-date overview of the availability of six metadata elements in Crossref, including abstracts._x000a__x000a_My lady, I hope this information is helpful. If you have any further questions,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6462FE-586F-9C41-B3A8-5ABC3BC5575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2"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zoomScale="130" zoomScaleNormal="130" workbookViewId="0">
      <selection activeCell="C1" sqref="C1"/>
    </sheetView>
  </sheetViews>
  <sheetFormatPr baseColWidth="10" defaultColWidth="8.83203125" defaultRowHeight="15" x14ac:dyDescent="0.2"/>
  <cols>
    <col min="2" max="2" width="27.1640625" style="3" customWidth="1"/>
    <col min="3" max="3" width="122.1640625" style="3" customWidth="1"/>
  </cols>
  <sheetData>
    <row r="1" spans="1:7" ht="16" x14ac:dyDescent="0.2">
      <c r="B1" s="2" t="s">
        <v>0</v>
      </c>
      <c r="C1" s="2" t="s">
        <v>1</v>
      </c>
      <c r="D1" t="s">
        <v>98</v>
      </c>
      <c r="E1" t="s">
        <v>99</v>
      </c>
      <c r="F1" t="s">
        <v>100</v>
      </c>
      <c r="G1" t="s">
        <v>101</v>
      </c>
    </row>
    <row r="2" spans="1:7" ht="365" x14ac:dyDescent="0.2">
      <c r="A2" s="1">
        <v>9</v>
      </c>
      <c r="B2" s="3" t="s">
        <v>20</v>
      </c>
      <c r="C2" s="3" t="s">
        <v>21</v>
      </c>
      <c r="D2">
        <v>1</v>
      </c>
      <c r="E2">
        <v>1</v>
      </c>
      <c r="F2">
        <v>1</v>
      </c>
      <c r="G2">
        <v>0</v>
      </c>
    </row>
    <row r="3" spans="1:7" ht="335" x14ac:dyDescent="0.2">
      <c r="A3" s="1">
        <v>25</v>
      </c>
      <c r="B3" s="3" t="s">
        <v>20</v>
      </c>
      <c r="C3" s="3" t="s">
        <v>43</v>
      </c>
      <c r="D3">
        <v>1</v>
      </c>
      <c r="E3">
        <v>1</v>
      </c>
      <c r="F3">
        <v>1</v>
      </c>
      <c r="G3">
        <v>0</v>
      </c>
    </row>
    <row r="4" spans="1:7" ht="365" x14ac:dyDescent="0.2">
      <c r="A4" s="1">
        <v>41</v>
      </c>
      <c r="B4" s="3" t="s">
        <v>20</v>
      </c>
      <c r="C4" s="3" t="s">
        <v>59</v>
      </c>
      <c r="D4">
        <v>1</v>
      </c>
      <c r="E4">
        <v>1</v>
      </c>
      <c r="F4">
        <v>1</v>
      </c>
      <c r="G4">
        <v>0</v>
      </c>
    </row>
    <row r="5" spans="1:7" ht="350" x14ac:dyDescent="0.2">
      <c r="A5" s="1">
        <v>57</v>
      </c>
      <c r="B5" s="3" t="s">
        <v>20</v>
      </c>
      <c r="C5" s="3" t="s">
        <v>75</v>
      </c>
      <c r="D5">
        <v>1</v>
      </c>
      <c r="E5">
        <v>1</v>
      </c>
      <c r="F5">
        <v>1</v>
      </c>
      <c r="G5">
        <v>0</v>
      </c>
    </row>
    <row r="6" spans="1:7" ht="320" x14ac:dyDescent="0.2">
      <c r="A6" s="1">
        <v>73</v>
      </c>
      <c r="B6" s="3" t="s">
        <v>20</v>
      </c>
      <c r="C6" s="3" t="s">
        <v>91</v>
      </c>
      <c r="D6">
        <v>1</v>
      </c>
      <c r="E6">
        <v>1</v>
      </c>
      <c r="F6">
        <v>1</v>
      </c>
      <c r="G6">
        <v>0</v>
      </c>
    </row>
    <row r="7" spans="1:7" ht="80" x14ac:dyDescent="0.2">
      <c r="A7" s="1">
        <v>2</v>
      </c>
      <c r="B7" s="3" t="s">
        <v>6</v>
      </c>
      <c r="C7" s="3" t="s">
        <v>7</v>
      </c>
      <c r="D7">
        <v>0</v>
      </c>
      <c r="E7">
        <v>0</v>
      </c>
      <c r="F7">
        <v>0</v>
      </c>
      <c r="G7">
        <v>0</v>
      </c>
    </row>
    <row r="8" spans="1:7" ht="240" x14ac:dyDescent="0.2">
      <c r="A8" s="1">
        <v>18</v>
      </c>
      <c r="B8" s="3" t="s">
        <v>6</v>
      </c>
      <c r="C8" s="3" t="s">
        <v>36</v>
      </c>
      <c r="D8">
        <v>1</v>
      </c>
      <c r="E8">
        <v>1</v>
      </c>
      <c r="F8">
        <v>1</v>
      </c>
      <c r="G8">
        <v>0</v>
      </c>
    </row>
    <row r="9" spans="1:7" ht="256" x14ac:dyDescent="0.2">
      <c r="A9" s="1">
        <v>34</v>
      </c>
      <c r="B9" s="3" t="s">
        <v>6</v>
      </c>
      <c r="C9" s="3" t="s">
        <v>52</v>
      </c>
      <c r="D9">
        <v>1</v>
      </c>
      <c r="E9">
        <v>1</v>
      </c>
      <c r="F9">
        <v>1</v>
      </c>
      <c r="G9">
        <v>0</v>
      </c>
    </row>
    <row r="10" spans="1:7" ht="96" x14ac:dyDescent="0.2">
      <c r="A10" s="1">
        <v>50</v>
      </c>
      <c r="B10" s="3" t="s">
        <v>6</v>
      </c>
      <c r="C10" s="3" t="s">
        <v>68</v>
      </c>
      <c r="D10">
        <v>0</v>
      </c>
      <c r="E10">
        <v>0</v>
      </c>
      <c r="F10">
        <v>0</v>
      </c>
      <c r="G10">
        <v>0</v>
      </c>
    </row>
    <row r="11" spans="1:7" ht="409.6" x14ac:dyDescent="0.2">
      <c r="A11" s="1">
        <v>66</v>
      </c>
      <c r="B11" s="3" t="s">
        <v>6</v>
      </c>
      <c r="C11" s="3" t="s">
        <v>84</v>
      </c>
      <c r="D11">
        <v>1</v>
      </c>
      <c r="E11">
        <v>1</v>
      </c>
      <c r="F11">
        <v>1</v>
      </c>
      <c r="G11">
        <v>0</v>
      </c>
    </row>
    <row r="12" spans="1:7" ht="365" x14ac:dyDescent="0.2">
      <c r="A12" s="1">
        <v>12</v>
      </c>
      <c r="B12" s="3" t="s">
        <v>26</v>
      </c>
      <c r="C12" s="3" t="s">
        <v>27</v>
      </c>
      <c r="D12">
        <v>1</v>
      </c>
      <c r="E12">
        <v>1</v>
      </c>
      <c r="F12">
        <v>1</v>
      </c>
      <c r="G12">
        <v>0</v>
      </c>
    </row>
    <row r="13" spans="1:7" ht="335" x14ac:dyDescent="0.2">
      <c r="A13" s="1">
        <v>28</v>
      </c>
      <c r="B13" s="3" t="s">
        <v>26</v>
      </c>
      <c r="C13" s="3" t="s">
        <v>46</v>
      </c>
      <c r="D13">
        <v>1</v>
      </c>
      <c r="E13">
        <v>1</v>
      </c>
      <c r="F13">
        <v>1</v>
      </c>
      <c r="G13">
        <v>0</v>
      </c>
    </row>
    <row r="14" spans="1:7" ht="320" x14ac:dyDescent="0.2">
      <c r="A14" s="1">
        <v>44</v>
      </c>
      <c r="B14" s="3" t="s">
        <v>26</v>
      </c>
      <c r="C14" s="3" t="s">
        <v>62</v>
      </c>
      <c r="D14">
        <v>1</v>
      </c>
      <c r="E14">
        <v>1</v>
      </c>
      <c r="F14">
        <v>1</v>
      </c>
      <c r="G14">
        <v>0</v>
      </c>
    </row>
    <row r="15" spans="1:7" ht="272" x14ac:dyDescent="0.2">
      <c r="A15" s="1">
        <v>60</v>
      </c>
      <c r="B15" s="3" t="s">
        <v>26</v>
      </c>
      <c r="C15" s="3" t="s">
        <v>78</v>
      </c>
      <c r="D15">
        <v>1</v>
      </c>
      <c r="E15">
        <v>1</v>
      </c>
      <c r="F15">
        <v>1</v>
      </c>
      <c r="G15">
        <v>0</v>
      </c>
    </row>
    <row r="16" spans="1:7" ht="395" x14ac:dyDescent="0.2">
      <c r="A16" s="1">
        <v>76</v>
      </c>
      <c r="B16" s="3" t="s">
        <v>26</v>
      </c>
      <c r="C16" s="3" t="s">
        <v>94</v>
      </c>
      <c r="D16">
        <v>1</v>
      </c>
      <c r="E16">
        <v>1</v>
      </c>
      <c r="F16">
        <v>1</v>
      </c>
      <c r="G16">
        <v>0</v>
      </c>
    </row>
    <row r="17" spans="1:7" ht="350" x14ac:dyDescent="0.2">
      <c r="A17" s="1">
        <v>13</v>
      </c>
      <c r="B17" s="3" t="s">
        <v>28</v>
      </c>
      <c r="C17" s="3" t="s">
        <v>29</v>
      </c>
      <c r="D17">
        <v>1</v>
      </c>
      <c r="E17">
        <v>1</v>
      </c>
      <c r="F17">
        <v>1</v>
      </c>
      <c r="G17">
        <v>0</v>
      </c>
    </row>
    <row r="18" spans="1:7" ht="365" x14ac:dyDescent="0.2">
      <c r="A18" s="1">
        <v>29</v>
      </c>
      <c r="B18" s="3" t="s">
        <v>28</v>
      </c>
      <c r="C18" s="3" t="s">
        <v>47</v>
      </c>
      <c r="D18">
        <v>1</v>
      </c>
      <c r="E18">
        <v>1</v>
      </c>
      <c r="F18">
        <v>1</v>
      </c>
      <c r="G18">
        <v>0</v>
      </c>
    </row>
    <row r="19" spans="1:7" ht="365" x14ac:dyDescent="0.2">
      <c r="A19" s="1">
        <v>45</v>
      </c>
      <c r="B19" s="3" t="s">
        <v>28</v>
      </c>
      <c r="C19" s="3" t="s">
        <v>63</v>
      </c>
      <c r="D19">
        <v>1</v>
      </c>
      <c r="E19">
        <v>1</v>
      </c>
      <c r="F19">
        <v>1</v>
      </c>
      <c r="G19">
        <v>0</v>
      </c>
    </row>
    <row r="20" spans="1:7" ht="365" x14ac:dyDescent="0.2">
      <c r="A20" s="1">
        <v>61</v>
      </c>
      <c r="B20" s="3" t="s">
        <v>28</v>
      </c>
      <c r="C20" s="3" t="s">
        <v>79</v>
      </c>
      <c r="D20">
        <v>1</v>
      </c>
      <c r="E20">
        <v>1</v>
      </c>
      <c r="F20">
        <v>1</v>
      </c>
      <c r="G20">
        <v>0</v>
      </c>
    </row>
    <row r="21" spans="1:7" ht="335" x14ac:dyDescent="0.2">
      <c r="A21" s="1">
        <v>77</v>
      </c>
      <c r="B21" s="3" t="s">
        <v>28</v>
      </c>
      <c r="C21" s="3" t="s">
        <v>95</v>
      </c>
      <c r="D21">
        <v>1</v>
      </c>
      <c r="E21">
        <v>1</v>
      </c>
      <c r="F21">
        <v>1</v>
      </c>
      <c r="G21">
        <v>0</v>
      </c>
    </row>
    <row r="22" spans="1:7" ht="365" x14ac:dyDescent="0.2">
      <c r="A22" s="1">
        <v>15</v>
      </c>
      <c r="B22" s="3" t="s">
        <v>32</v>
      </c>
      <c r="C22" s="3" t="s">
        <v>33</v>
      </c>
      <c r="D22">
        <v>1</v>
      </c>
      <c r="E22">
        <v>1</v>
      </c>
      <c r="F22">
        <v>1</v>
      </c>
      <c r="G22">
        <v>0</v>
      </c>
    </row>
    <row r="23" spans="1:7" ht="320" x14ac:dyDescent="0.2">
      <c r="A23" s="1">
        <v>31</v>
      </c>
      <c r="B23" s="3" t="s">
        <v>32</v>
      </c>
      <c r="C23" s="3" t="s">
        <v>49</v>
      </c>
      <c r="D23">
        <v>1</v>
      </c>
      <c r="E23">
        <v>1</v>
      </c>
      <c r="F23">
        <v>1</v>
      </c>
      <c r="G23">
        <v>0</v>
      </c>
    </row>
    <row r="24" spans="1:7" ht="320" x14ac:dyDescent="0.2">
      <c r="A24" s="1">
        <v>47</v>
      </c>
      <c r="B24" s="3" t="s">
        <v>32</v>
      </c>
      <c r="C24" s="3" t="s">
        <v>65</v>
      </c>
      <c r="D24">
        <v>1</v>
      </c>
      <c r="E24">
        <v>1</v>
      </c>
      <c r="F24">
        <v>1</v>
      </c>
      <c r="G24">
        <v>0</v>
      </c>
    </row>
    <row r="25" spans="1:7" ht="335" x14ac:dyDescent="0.2">
      <c r="A25" s="1">
        <v>63</v>
      </c>
      <c r="B25" s="3" t="s">
        <v>32</v>
      </c>
      <c r="C25" s="3" t="s">
        <v>81</v>
      </c>
      <c r="D25">
        <v>1</v>
      </c>
      <c r="E25">
        <v>1</v>
      </c>
      <c r="F25">
        <v>1</v>
      </c>
      <c r="G25">
        <v>0</v>
      </c>
    </row>
    <row r="26" spans="1:7" ht="320" x14ac:dyDescent="0.2">
      <c r="A26" s="1">
        <v>79</v>
      </c>
      <c r="B26" s="3" t="s">
        <v>32</v>
      </c>
      <c r="C26" s="3" t="s">
        <v>97</v>
      </c>
      <c r="D26">
        <v>1</v>
      </c>
      <c r="E26">
        <v>1</v>
      </c>
      <c r="F26">
        <v>1</v>
      </c>
      <c r="G26">
        <v>0</v>
      </c>
    </row>
    <row r="27" spans="1:7" ht="240" x14ac:dyDescent="0.2">
      <c r="A27" s="1">
        <v>14</v>
      </c>
      <c r="B27" s="3" t="s">
        <v>30</v>
      </c>
      <c r="C27" s="3" t="s">
        <v>31</v>
      </c>
      <c r="D27">
        <v>1</v>
      </c>
      <c r="E27">
        <v>1</v>
      </c>
      <c r="F27">
        <v>1</v>
      </c>
      <c r="G27">
        <v>0</v>
      </c>
    </row>
    <row r="28" spans="1:7" ht="409.6" x14ac:dyDescent="0.2">
      <c r="A28" s="1">
        <v>30</v>
      </c>
      <c r="B28" s="3" t="s">
        <v>30</v>
      </c>
      <c r="C28" s="3" t="s">
        <v>48</v>
      </c>
      <c r="D28">
        <v>1</v>
      </c>
      <c r="E28">
        <v>1</v>
      </c>
      <c r="F28">
        <v>1</v>
      </c>
      <c r="G28">
        <v>0</v>
      </c>
    </row>
    <row r="29" spans="1:7" ht="160" x14ac:dyDescent="0.2">
      <c r="A29" s="1">
        <v>46</v>
      </c>
      <c r="B29" s="3" t="s">
        <v>30</v>
      </c>
      <c r="C29" s="3" t="s">
        <v>64</v>
      </c>
      <c r="D29">
        <v>1</v>
      </c>
      <c r="E29">
        <v>1</v>
      </c>
      <c r="F29">
        <v>1</v>
      </c>
      <c r="G29">
        <v>0</v>
      </c>
    </row>
    <row r="30" spans="1:7" ht="409.6" x14ac:dyDescent="0.2">
      <c r="A30" s="1">
        <v>62</v>
      </c>
      <c r="B30" s="3" t="s">
        <v>30</v>
      </c>
      <c r="C30" s="3" t="s">
        <v>80</v>
      </c>
      <c r="D30">
        <v>1</v>
      </c>
      <c r="E30">
        <v>1</v>
      </c>
      <c r="F30">
        <v>1</v>
      </c>
      <c r="G30">
        <v>0</v>
      </c>
    </row>
    <row r="31" spans="1:7" ht="176" x14ac:dyDescent="0.2">
      <c r="A31" s="1">
        <v>78</v>
      </c>
      <c r="B31" s="3" t="s">
        <v>30</v>
      </c>
      <c r="C31" s="3" t="s">
        <v>96</v>
      </c>
      <c r="D31">
        <v>1</v>
      </c>
      <c r="E31">
        <v>1</v>
      </c>
      <c r="F31">
        <v>1</v>
      </c>
      <c r="G31">
        <v>0</v>
      </c>
    </row>
    <row r="32" spans="1:7" ht="409.6" x14ac:dyDescent="0.2">
      <c r="A32" s="1">
        <v>7</v>
      </c>
      <c r="B32" s="3" t="s">
        <v>16</v>
      </c>
      <c r="C32" s="3" t="s">
        <v>17</v>
      </c>
      <c r="D32">
        <v>1</v>
      </c>
      <c r="E32">
        <v>1</v>
      </c>
      <c r="F32">
        <v>1</v>
      </c>
      <c r="G32">
        <v>0</v>
      </c>
    </row>
    <row r="33" spans="1:7" ht="224" x14ac:dyDescent="0.2">
      <c r="A33" s="1">
        <v>23</v>
      </c>
      <c r="B33" s="3" t="s">
        <v>16</v>
      </c>
      <c r="C33" s="3" t="s">
        <v>41</v>
      </c>
      <c r="D33">
        <v>1</v>
      </c>
      <c r="E33">
        <v>1</v>
      </c>
      <c r="F33">
        <v>1</v>
      </c>
      <c r="G33">
        <v>0</v>
      </c>
    </row>
    <row r="34" spans="1:7" ht="335" x14ac:dyDescent="0.2">
      <c r="A34" s="1">
        <v>39</v>
      </c>
      <c r="B34" s="3" t="s">
        <v>16</v>
      </c>
      <c r="C34" s="3" t="s">
        <v>57</v>
      </c>
      <c r="D34">
        <v>1</v>
      </c>
      <c r="E34">
        <v>1</v>
      </c>
      <c r="F34">
        <v>1</v>
      </c>
      <c r="G34">
        <v>0</v>
      </c>
    </row>
    <row r="35" spans="1:7" ht="240" x14ac:dyDescent="0.2">
      <c r="A35" s="1">
        <v>55</v>
      </c>
      <c r="B35" s="3" t="s">
        <v>16</v>
      </c>
      <c r="C35" s="3" t="s">
        <v>73</v>
      </c>
      <c r="D35">
        <v>1</v>
      </c>
      <c r="E35">
        <v>1</v>
      </c>
      <c r="F35">
        <v>1</v>
      </c>
      <c r="G35">
        <v>0</v>
      </c>
    </row>
    <row r="36" spans="1:7" ht="335" x14ac:dyDescent="0.2">
      <c r="A36" s="1">
        <v>71</v>
      </c>
      <c r="B36" s="3" t="s">
        <v>16</v>
      </c>
      <c r="C36" s="3" t="s">
        <v>89</v>
      </c>
      <c r="D36">
        <v>1</v>
      </c>
      <c r="E36">
        <v>1</v>
      </c>
      <c r="F36">
        <v>1</v>
      </c>
      <c r="G36">
        <v>0</v>
      </c>
    </row>
    <row r="37" spans="1:7" ht="380" x14ac:dyDescent="0.2">
      <c r="A37" s="1">
        <v>10</v>
      </c>
      <c r="B37" s="3" t="s">
        <v>22</v>
      </c>
      <c r="C37" s="22" t="s">
        <v>23</v>
      </c>
      <c r="D37">
        <v>0</v>
      </c>
      <c r="E37">
        <v>0</v>
      </c>
      <c r="F37">
        <v>0</v>
      </c>
      <c r="G37">
        <v>1</v>
      </c>
    </row>
    <row r="38" spans="1:7" ht="350" x14ac:dyDescent="0.2">
      <c r="A38" s="1">
        <v>26</v>
      </c>
      <c r="B38" s="3" t="s">
        <v>22</v>
      </c>
      <c r="C38" s="22" t="s">
        <v>44</v>
      </c>
      <c r="D38">
        <v>0</v>
      </c>
      <c r="E38">
        <v>0</v>
      </c>
      <c r="F38">
        <v>0</v>
      </c>
      <c r="G38">
        <v>1</v>
      </c>
    </row>
    <row r="39" spans="1:7" ht="320" x14ac:dyDescent="0.2">
      <c r="A39" s="1">
        <v>42</v>
      </c>
      <c r="B39" s="3" t="s">
        <v>22</v>
      </c>
      <c r="C39" s="22" t="s">
        <v>60</v>
      </c>
      <c r="D39">
        <v>0</v>
      </c>
      <c r="E39">
        <v>0</v>
      </c>
      <c r="F39">
        <v>0</v>
      </c>
      <c r="G39">
        <v>1</v>
      </c>
    </row>
    <row r="40" spans="1:7" ht="365" x14ac:dyDescent="0.2">
      <c r="A40" s="1">
        <v>58</v>
      </c>
      <c r="B40" s="3" t="s">
        <v>22</v>
      </c>
      <c r="C40" s="22" t="s">
        <v>76</v>
      </c>
      <c r="D40">
        <v>0</v>
      </c>
      <c r="E40">
        <v>0</v>
      </c>
      <c r="F40">
        <v>0</v>
      </c>
      <c r="G40">
        <v>1</v>
      </c>
    </row>
    <row r="41" spans="1:7" ht="320" x14ac:dyDescent="0.2">
      <c r="A41" s="1">
        <v>74</v>
      </c>
      <c r="B41" s="3" t="s">
        <v>22</v>
      </c>
      <c r="C41" s="22" t="s">
        <v>92</v>
      </c>
      <c r="D41">
        <v>0</v>
      </c>
      <c r="E41">
        <v>0</v>
      </c>
      <c r="F41">
        <v>0</v>
      </c>
      <c r="G41">
        <v>1</v>
      </c>
    </row>
    <row r="42" spans="1:7" ht="272" x14ac:dyDescent="0.2">
      <c r="A42" s="1">
        <v>8</v>
      </c>
      <c r="B42" s="3" t="s">
        <v>18</v>
      </c>
      <c r="C42" s="3" t="s">
        <v>19</v>
      </c>
      <c r="D42">
        <v>1</v>
      </c>
      <c r="E42">
        <v>1</v>
      </c>
      <c r="F42">
        <v>1</v>
      </c>
      <c r="G42">
        <v>0</v>
      </c>
    </row>
    <row r="43" spans="1:7" ht="208" x14ac:dyDescent="0.2">
      <c r="A43" s="1">
        <v>24</v>
      </c>
      <c r="B43" s="3" t="s">
        <v>18</v>
      </c>
      <c r="C43" s="3" t="s">
        <v>42</v>
      </c>
      <c r="D43">
        <v>1</v>
      </c>
      <c r="E43">
        <v>1</v>
      </c>
      <c r="F43">
        <v>1</v>
      </c>
      <c r="G43">
        <v>0</v>
      </c>
    </row>
    <row r="44" spans="1:7" ht="272" x14ac:dyDescent="0.2">
      <c r="A44" s="1">
        <v>40</v>
      </c>
      <c r="B44" s="3" t="s">
        <v>18</v>
      </c>
      <c r="C44" s="3" t="s">
        <v>58</v>
      </c>
      <c r="D44">
        <v>1</v>
      </c>
      <c r="E44">
        <v>1</v>
      </c>
      <c r="F44">
        <v>1</v>
      </c>
      <c r="G44">
        <v>0</v>
      </c>
    </row>
    <row r="45" spans="1:7" ht="224" x14ac:dyDescent="0.2">
      <c r="A45" s="1">
        <v>56</v>
      </c>
      <c r="B45" s="3" t="s">
        <v>18</v>
      </c>
      <c r="C45" s="3" t="s">
        <v>74</v>
      </c>
      <c r="D45">
        <v>1</v>
      </c>
      <c r="E45">
        <v>1</v>
      </c>
      <c r="F45">
        <v>1</v>
      </c>
      <c r="G45">
        <v>0</v>
      </c>
    </row>
    <row r="46" spans="1:7" ht="224" x14ac:dyDescent="0.2">
      <c r="A46" s="1">
        <v>72</v>
      </c>
      <c r="B46" s="3" t="s">
        <v>18</v>
      </c>
      <c r="C46" s="3" t="s">
        <v>90</v>
      </c>
      <c r="D46">
        <v>1</v>
      </c>
      <c r="E46">
        <v>1</v>
      </c>
      <c r="F46">
        <v>1</v>
      </c>
      <c r="G46">
        <v>0</v>
      </c>
    </row>
    <row r="47" spans="1:7" ht="395" x14ac:dyDescent="0.2">
      <c r="A47" s="1">
        <v>6</v>
      </c>
      <c r="B47" s="3" t="s">
        <v>14</v>
      </c>
      <c r="C47" s="3" t="s">
        <v>15</v>
      </c>
      <c r="D47">
        <v>1</v>
      </c>
      <c r="E47">
        <v>1</v>
      </c>
      <c r="F47">
        <v>1</v>
      </c>
      <c r="G47">
        <v>0</v>
      </c>
    </row>
    <row r="48" spans="1:7" ht="409.6" x14ac:dyDescent="0.2">
      <c r="A48" s="1">
        <v>22</v>
      </c>
      <c r="B48" s="3" t="s">
        <v>14</v>
      </c>
      <c r="C48" s="3" t="s">
        <v>40</v>
      </c>
      <c r="D48">
        <v>1</v>
      </c>
      <c r="E48">
        <v>1</v>
      </c>
      <c r="F48">
        <v>1</v>
      </c>
      <c r="G48">
        <v>0</v>
      </c>
    </row>
    <row r="49" spans="1:7" ht="96" x14ac:dyDescent="0.2">
      <c r="A49" s="1">
        <v>38</v>
      </c>
      <c r="B49" s="3" t="s">
        <v>14</v>
      </c>
      <c r="C49" s="3" t="s">
        <v>56</v>
      </c>
      <c r="D49">
        <v>0</v>
      </c>
      <c r="E49">
        <v>0</v>
      </c>
      <c r="F49">
        <v>0</v>
      </c>
      <c r="G49">
        <v>0</v>
      </c>
    </row>
    <row r="50" spans="1:7" ht="409.6" x14ac:dyDescent="0.2">
      <c r="A50" s="1">
        <v>54</v>
      </c>
      <c r="B50" s="3" t="s">
        <v>14</v>
      </c>
      <c r="C50" s="3" t="s">
        <v>72</v>
      </c>
      <c r="D50">
        <v>1</v>
      </c>
      <c r="E50">
        <v>1</v>
      </c>
      <c r="F50">
        <v>1</v>
      </c>
      <c r="G50">
        <v>0</v>
      </c>
    </row>
    <row r="51" spans="1:7" ht="272" x14ac:dyDescent="0.2">
      <c r="A51" s="1">
        <v>70</v>
      </c>
      <c r="B51" s="3" t="s">
        <v>14</v>
      </c>
      <c r="C51" s="3" t="s">
        <v>88</v>
      </c>
      <c r="D51">
        <v>1</v>
      </c>
      <c r="E51">
        <v>1</v>
      </c>
      <c r="F51">
        <v>1</v>
      </c>
      <c r="G51">
        <v>0</v>
      </c>
    </row>
    <row r="52" spans="1:7" ht="96" x14ac:dyDescent="0.2">
      <c r="A52" s="1">
        <v>11</v>
      </c>
      <c r="B52" s="3" t="s">
        <v>24</v>
      </c>
      <c r="C52" s="3" t="s">
        <v>25</v>
      </c>
      <c r="D52">
        <v>0</v>
      </c>
      <c r="E52">
        <v>0</v>
      </c>
      <c r="F52">
        <v>0</v>
      </c>
      <c r="G52">
        <v>0</v>
      </c>
    </row>
    <row r="53" spans="1:7" ht="335" x14ac:dyDescent="0.2">
      <c r="A53" s="1">
        <v>27</v>
      </c>
      <c r="B53" s="3" t="s">
        <v>24</v>
      </c>
      <c r="C53" s="3" t="s">
        <v>45</v>
      </c>
      <c r="D53">
        <v>1</v>
      </c>
      <c r="E53">
        <v>1</v>
      </c>
      <c r="F53">
        <v>1</v>
      </c>
      <c r="G53">
        <v>0</v>
      </c>
    </row>
    <row r="54" spans="1:7" ht="335" x14ac:dyDescent="0.2">
      <c r="A54" s="1">
        <v>43</v>
      </c>
      <c r="B54" s="3" t="s">
        <v>24</v>
      </c>
      <c r="C54" s="3" t="s">
        <v>61</v>
      </c>
      <c r="D54">
        <v>1</v>
      </c>
      <c r="E54">
        <v>1</v>
      </c>
      <c r="F54">
        <v>1</v>
      </c>
      <c r="G54">
        <v>0</v>
      </c>
    </row>
    <row r="55" spans="1:7" ht="112" x14ac:dyDescent="0.2">
      <c r="A55" s="1">
        <v>59</v>
      </c>
      <c r="B55" s="3" t="s">
        <v>24</v>
      </c>
      <c r="C55" s="3" t="s">
        <v>77</v>
      </c>
      <c r="D55">
        <v>0</v>
      </c>
      <c r="E55">
        <v>0</v>
      </c>
      <c r="F55">
        <v>0</v>
      </c>
      <c r="G55">
        <v>0</v>
      </c>
    </row>
    <row r="56" spans="1:7" ht="256" x14ac:dyDescent="0.2">
      <c r="A56" s="1">
        <v>75</v>
      </c>
      <c r="B56" s="3" t="s">
        <v>24</v>
      </c>
      <c r="C56" s="3" t="s">
        <v>93</v>
      </c>
      <c r="D56">
        <v>1</v>
      </c>
      <c r="E56">
        <v>1</v>
      </c>
      <c r="F56">
        <v>1</v>
      </c>
      <c r="G56">
        <v>0</v>
      </c>
    </row>
    <row r="57" spans="1:7" ht="409.6" x14ac:dyDescent="0.2">
      <c r="A57" s="1">
        <v>4</v>
      </c>
      <c r="B57" s="3" t="s">
        <v>10</v>
      </c>
      <c r="C57" s="3" t="s">
        <v>11</v>
      </c>
      <c r="D57">
        <v>1</v>
      </c>
      <c r="E57">
        <v>1</v>
      </c>
      <c r="F57">
        <v>1</v>
      </c>
      <c r="G57">
        <v>0</v>
      </c>
    </row>
    <row r="58" spans="1:7" ht="288" x14ac:dyDescent="0.2">
      <c r="A58" s="1">
        <v>20</v>
      </c>
      <c r="B58" s="3" t="s">
        <v>10</v>
      </c>
      <c r="C58" s="3" t="s">
        <v>38</v>
      </c>
      <c r="D58">
        <v>1</v>
      </c>
      <c r="E58">
        <v>1</v>
      </c>
      <c r="F58">
        <v>1</v>
      </c>
      <c r="G58">
        <v>0</v>
      </c>
    </row>
    <row r="59" spans="1:7" ht="288" x14ac:dyDescent="0.2">
      <c r="A59" s="1">
        <v>36</v>
      </c>
      <c r="B59" s="3" t="s">
        <v>10</v>
      </c>
      <c r="C59" s="3" t="s">
        <v>54</v>
      </c>
      <c r="D59">
        <v>1</v>
      </c>
      <c r="E59">
        <v>1</v>
      </c>
      <c r="F59">
        <v>1</v>
      </c>
      <c r="G59">
        <v>0</v>
      </c>
    </row>
    <row r="60" spans="1:7" ht="320" x14ac:dyDescent="0.2">
      <c r="A60" s="1">
        <v>52</v>
      </c>
      <c r="B60" s="3" t="s">
        <v>10</v>
      </c>
      <c r="C60" s="3" t="s">
        <v>70</v>
      </c>
      <c r="D60">
        <v>1</v>
      </c>
      <c r="E60">
        <v>1</v>
      </c>
      <c r="F60">
        <v>1</v>
      </c>
      <c r="G60">
        <v>0</v>
      </c>
    </row>
    <row r="61" spans="1:7" ht="208" x14ac:dyDescent="0.2">
      <c r="A61" s="1">
        <v>68</v>
      </c>
      <c r="B61" s="3" t="s">
        <v>10</v>
      </c>
      <c r="C61" s="3" t="s">
        <v>86</v>
      </c>
      <c r="D61">
        <v>1</v>
      </c>
      <c r="E61">
        <v>1</v>
      </c>
      <c r="F61">
        <v>1</v>
      </c>
      <c r="G61">
        <v>0</v>
      </c>
    </row>
    <row r="62" spans="1:7" ht="96" x14ac:dyDescent="0.2">
      <c r="A62" s="1">
        <v>5</v>
      </c>
      <c r="B62" s="3" t="s">
        <v>12</v>
      </c>
      <c r="C62" s="3" t="s">
        <v>13</v>
      </c>
      <c r="D62">
        <v>0</v>
      </c>
      <c r="E62">
        <v>0</v>
      </c>
      <c r="F62">
        <v>0</v>
      </c>
      <c r="G62">
        <v>0</v>
      </c>
    </row>
    <row r="63" spans="1:7" ht="304" x14ac:dyDescent="0.2">
      <c r="A63" s="1">
        <v>21</v>
      </c>
      <c r="B63" s="3" t="s">
        <v>12</v>
      </c>
      <c r="C63" s="3" t="s">
        <v>39</v>
      </c>
      <c r="D63">
        <v>1</v>
      </c>
      <c r="E63">
        <v>1</v>
      </c>
      <c r="F63">
        <v>1</v>
      </c>
      <c r="G63">
        <v>0</v>
      </c>
    </row>
    <row r="64" spans="1:7" ht="335" x14ac:dyDescent="0.2">
      <c r="A64" s="1">
        <v>37</v>
      </c>
      <c r="B64" s="3" t="s">
        <v>12</v>
      </c>
      <c r="C64" s="3" t="s">
        <v>55</v>
      </c>
      <c r="D64">
        <v>1</v>
      </c>
      <c r="E64">
        <v>1</v>
      </c>
      <c r="F64">
        <v>1</v>
      </c>
      <c r="G64">
        <v>0</v>
      </c>
    </row>
    <row r="65" spans="1:7" ht="335" x14ac:dyDescent="0.2">
      <c r="A65" s="1">
        <v>53</v>
      </c>
      <c r="B65" s="3" t="s">
        <v>12</v>
      </c>
      <c r="C65" s="3" t="s">
        <v>71</v>
      </c>
      <c r="D65">
        <v>1</v>
      </c>
      <c r="E65">
        <v>1</v>
      </c>
      <c r="F65">
        <v>1</v>
      </c>
      <c r="G65">
        <v>0</v>
      </c>
    </row>
    <row r="66" spans="1:7" ht="304" x14ac:dyDescent="0.2">
      <c r="A66" s="1">
        <v>69</v>
      </c>
      <c r="B66" s="3" t="s">
        <v>12</v>
      </c>
      <c r="C66" s="3" t="s">
        <v>87</v>
      </c>
      <c r="D66">
        <v>1</v>
      </c>
      <c r="E66">
        <v>1</v>
      </c>
      <c r="F66">
        <v>1</v>
      </c>
      <c r="G66">
        <v>0</v>
      </c>
    </row>
    <row r="67" spans="1:7" ht="224" x14ac:dyDescent="0.2">
      <c r="A67" s="1">
        <v>3</v>
      </c>
      <c r="B67" s="3" t="s">
        <v>8</v>
      </c>
      <c r="C67" s="3" t="s">
        <v>9</v>
      </c>
      <c r="D67">
        <v>1</v>
      </c>
      <c r="E67">
        <v>1</v>
      </c>
      <c r="F67">
        <v>1</v>
      </c>
      <c r="G67">
        <v>0</v>
      </c>
    </row>
    <row r="68" spans="1:7" ht="409.6" x14ac:dyDescent="0.2">
      <c r="A68" s="1">
        <v>19</v>
      </c>
      <c r="B68" s="3" t="s">
        <v>8</v>
      </c>
      <c r="C68" s="3" t="s">
        <v>37</v>
      </c>
      <c r="D68">
        <v>1</v>
      </c>
      <c r="E68">
        <v>1</v>
      </c>
      <c r="F68">
        <v>1</v>
      </c>
      <c r="G68">
        <v>0</v>
      </c>
    </row>
    <row r="69" spans="1:7" ht="224" x14ac:dyDescent="0.2">
      <c r="A69" s="1">
        <v>35</v>
      </c>
      <c r="B69" s="3" t="s">
        <v>8</v>
      </c>
      <c r="C69" s="3" t="s">
        <v>53</v>
      </c>
      <c r="D69">
        <v>1</v>
      </c>
      <c r="E69">
        <v>1</v>
      </c>
      <c r="F69">
        <v>1</v>
      </c>
      <c r="G69">
        <v>0</v>
      </c>
    </row>
    <row r="70" spans="1:7" ht="288" x14ac:dyDescent="0.2">
      <c r="A70" s="1">
        <v>51</v>
      </c>
      <c r="B70" s="3" t="s">
        <v>8</v>
      </c>
      <c r="C70" s="3" t="s">
        <v>69</v>
      </c>
      <c r="D70">
        <v>1</v>
      </c>
      <c r="E70">
        <v>1</v>
      </c>
      <c r="F70">
        <v>1</v>
      </c>
      <c r="G70">
        <v>0</v>
      </c>
    </row>
    <row r="71" spans="1:7" ht="304" x14ac:dyDescent="0.2">
      <c r="A71" s="1">
        <v>67</v>
      </c>
      <c r="B71" s="3" t="s">
        <v>8</v>
      </c>
      <c r="C71" s="3" t="s">
        <v>85</v>
      </c>
      <c r="D71">
        <v>1</v>
      </c>
      <c r="E71">
        <v>1</v>
      </c>
      <c r="F71">
        <v>1</v>
      </c>
      <c r="G71">
        <v>0</v>
      </c>
    </row>
    <row r="72" spans="1:7" ht="208" x14ac:dyDescent="0.2">
      <c r="A72" s="1">
        <v>1</v>
      </c>
      <c r="B72" s="3" t="s">
        <v>4</v>
      </c>
      <c r="C72" s="3" t="s">
        <v>5</v>
      </c>
      <c r="D72">
        <v>1</v>
      </c>
      <c r="E72">
        <v>1</v>
      </c>
      <c r="F72">
        <v>1</v>
      </c>
      <c r="G72">
        <v>0</v>
      </c>
    </row>
    <row r="73" spans="1:7" ht="112" x14ac:dyDescent="0.2">
      <c r="A73" s="1">
        <v>17</v>
      </c>
      <c r="B73" s="3" t="s">
        <v>4</v>
      </c>
      <c r="C73" s="3" t="s">
        <v>35</v>
      </c>
      <c r="D73">
        <v>1</v>
      </c>
      <c r="E73">
        <v>1</v>
      </c>
      <c r="F73">
        <v>1</v>
      </c>
      <c r="G73">
        <v>0</v>
      </c>
    </row>
    <row r="74" spans="1:7" ht="128" x14ac:dyDescent="0.2">
      <c r="A74" s="1">
        <v>33</v>
      </c>
      <c r="B74" s="3" t="s">
        <v>4</v>
      </c>
      <c r="C74" s="3" t="s">
        <v>51</v>
      </c>
      <c r="D74">
        <v>1</v>
      </c>
      <c r="E74">
        <v>1</v>
      </c>
      <c r="F74">
        <v>1</v>
      </c>
      <c r="G74">
        <v>0</v>
      </c>
    </row>
    <row r="75" spans="1:7" ht="96" x14ac:dyDescent="0.2">
      <c r="A75" s="1">
        <v>49</v>
      </c>
      <c r="B75" s="3" t="s">
        <v>4</v>
      </c>
      <c r="C75" s="3" t="s">
        <v>67</v>
      </c>
      <c r="D75">
        <v>1</v>
      </c>
      <c r="E75">
        <v>1</v>
      </c>
      <c r="F75">
        <v>1</v>
      </c>
      <c r="G75">
        <v>0</v>
      </c>
    </row>
    <row r="76" spans="1:7" ht="96" x14ac:dyDescent="0.2">
      <c r="A76" s="1">
        <v>65</v>
      </c>
      <c r="B76" s="3" t="s">
        <v>4</v>
      </c>
      <c r="C76" s="3" t="s">
        <v>83</v>
      </c>
      <c r="D76">
        <v>1</v>
      </c>
      <c r="E76">
        <v>1</v>
      </c>
      <c r="F76">
        <v>1</v>
      </c>
      <c r="G76">
        <v>0</v>
      </c>
    </row>
    <row r="77" spans="1:7" ht="409.6" x14ac:dyDescent="0.2">
      <c r="A77" s="1">
        <v>0</v>
      </c>
      <c r="B77" s="3" t="s">
        <v>2</v>
      </c>
      <c r="C77" s="3" t="s">
        <v>3</v>
      </c>
      <c r="D77">
        <v>1</v>
      </c>
      <c r="E77">
        <v>1</v>
      </c>
      <c r="F77">
        <v>1</v>
      </c>
      <c r="G77">
        <v>0</v>
      </c>
    </row>
    <row r="78" spans="1:7" ht="160" x14ac:dyDescent="0.2">
      <c r="A78" s="1">
        <v>16</v>
      </c>
      <c r="B78" s="3" t="s">
        <v>2</v>
      </c>
      <c r="C78" s="3" t="s">
        <v>34</v>
      </c>
      <c r="D78">
        <v>1</v>
      </c>
      <c r="E78">
        <v>1</v>
      </c>
      <c r="F78">
        <v>1</v>
      </c>
      <c r="G78">
        <v>0</v>
      </c>
    </row>
    <row r="79" spans="1:7" ht="160" x14ac:dyDescent="0.2">
      <c r="A79" s="1">
        <v>32</v>
      </c>
      <c r="B79" s="3" t="s">
        <v>2</v>
      </c>
      <c r="C79" s="3" t="s">
        <v>50</v>
      </c>
      <c r="D79">
        <v>1</v>
      </c>
      <c r="E79">
        <v>1</v>
      </c>
      <c r="F79">
        <v>1</v>
      </c>
      <c r="G79">
        <v>0</v>
      </c>
    </row>
    <row r="80" spans="1:7" ht="160" x14ac:dyDescent="0.2">
      <c r="A80" s="1">
        <v>48</v>
      </c>
      <c r="B80" s="3" t="s">
        <v>2</v>
      </c>
      <c r="C80" s="3" t="s">
        <v>66</v>
      </c>
      <c r="D80">
        <v>1</v>
      </c>
      <c r="E80">
        <v>1</v>
      </c>
      <c r="F80">
        <v>1</v>
      </c>
      <c r="G80">
        <v>0</v>
      </c>
    </row>
    <row r="81" spans="1:7" ht="160" x14ac:dyDescent="0.2">
      <c r="A81" s="1">
        <v>64</v>
      </c>
      <c r="B81" s="3" t="s">
        <v>2</v>
      </c>
      <c r="C81" s="3" t="s">
        <v>82</v>
      </c>
      <c r="D81">
        <v>1</v>
      </c>
      <c r="E81">
        <v>1</v>
      </c>
      <c r="F81">
        <v>1</v>
      </c>
      <c r="G81">
        <v>0</v>
      </c>
    </row>
  </sheetData>
  <sortState xmlns:xlrd2="http://schemas.microsoft.com/office/spreadsheetml/2017/richdata2" ref="A2:G81">
    <sortCondition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A215-1C30-C446-8401-5F70255F1FC1}">
  <sheetPr>
    <outlinePr summaryBelow="0" summaryRight="0"/>
  </sheetPr>
  <dimension ref="A1:W994"/>
  <sheetViews>
    <sheetView workbookViewId="0">
      <selection activeCell="C26" sqref="C26"/>
    </sheetView>
  </sheetViews>
  <sheetFormatPr baseColWidth="10" defaultColWidth="12.6640625" defaultRowHeight="15.75" customHeight="1" x14ac:dyDescent="0.2"/>
  <cols>
    <col min="1" max="1" width="15.33203125" style="4" bestFit="1" customWidth="1"/>
    <col min="2" max="2" width="14.83203125" style="4" bestFit="1" customWidth="1"/>
    <col min="3" max="3" width="8.83203125" style="4" customWidth="1"/>
    <col min="4" max="4" width="10" style="4" bestFit="1" customWidth="1"/>
    <col min="5" max="5" width="17" style="4" customWidth="1"/>
    <col min="6" max="16384" width="12.6640625" style="4"/>
  </cols>
  <sheetData>
    <row r="1" spans="1:23" ht="16" x14ac:dyDescent="0.2">
      <c r="A1" s="10" t="s">
        <v>120</v>
      </c>
      <c r="B1" s="9"/>
      <c r="C1" s="9"/>
      <c r="D1" s="9"/>
      <c r="E1" s="9"/>
      <c r="F1" s="5"/>
      <c r="H1" s="5"/>
      <c r="I1" s="5"/>
      <c r="J1" s="5"/>
      <c r="K1" s="5"/>
      <c r="L1" s="5"/>
      <c r="M1" s="5"/>
      <c r="N1" s="5"/>
      <c r="O1" s="5"/>
      <c r="P1" s="5"/>
      <c r="Q1" s="5"/>
      <c r="R1" s="5"/>
      <c r="S1" s="5"/>
      <c r="T1" s="5"/>
      <c r="U1" s="5"/>
      <c r="V1" s="5"/>
      <c r="W1" s="5"/>
    </row>
    <row r="2" spans="1:23" ht="16" x14ac:dyDescent="0.2">
      <c r="A2" s="5"/>
      <c r="B2" s="6"/>
      <c r="C2" s="6"/>
      <c r="D2" s="6"/>
      <c r="E2" s="6"/>
      <c r="F2" s="5"/>
      <c r="H2" s="5"/>
      <c r="I2" s="5"/>
      <c r="J2" s="5"/>
      <c r="K2" s="5"/>
      <c r="L2" s="5"/>
      <c r="M2" s="5"/>
      <c r="N2" s="5"/>
      <c r="O2" s="5"/>
      <c r="P2" s="5"/>
      <c r="Q2" s="5"/>
      <c r="R2" s="5"/>
      <c r="S2" s="5"/>
      <c r="T2" s="5"/>
      <c r="U2" s="5"/>
      <c r="V2" s="5"/>
      <c r="W2" s="5"/>
    </row>
    <row r="3" spans="1:23" ht="16" x14ac:dyDescent="0.2">
      <c r="A3" s="5" t="s">
        <v>119</v>
      </c>
      <c r="C3" s="5" t="s">
        <v>117</v>
      </c>
      <c r="E3" s="5" t="s">
        <v>115</v>
      </c>
      <c r="F3" s="5"/>
      <c r="G3" s="5"/>
      <c r="H3" s="5"/>
      <c r="I3" s="5"/>
      <c r="J3" s="5"/>
      <c r="K3" s="5"/>
      <c r="L3" s="5"/>
      <c r="M3" s="5"/>
      <c r="N3" s="5"/>
      <c r="O3" s="5"/>
      <c r="P3" s="5"/>
      <c r="Q3" s="5"/>
      <c r="R3" s="5"/>
      <c r="S3" s="5"/>
      <c r="T3" s="5"/>
      <c r="U3" s="5"/>
      <c r="V3" s="5"/>
      <c r="W3" s="5"/>
    </row>
    <row r="4" spans="1:23" ht="16" x14ac:dyDescent="0.2">
      <c r="B4" t="s">
        <v>103</v>
      </c>
      <c r="C4">
        <v>0</v>
      </c>
      <c r="D4">
        <v>1</v>
      </c>
      <c r="E4" t="s">
        <v>102</v>
      </c>
      <c r="F4" s="5"/>
      <c r="G4" s="5"/>
      <c r="H4" s="5"/>
      <c r="I4" s="5"/>
      <c r="J4" s="5"/>
      <c r="K4" s="5"/>
      <c r="L4" s="5"/>
      <c r="M4" s="5"/>
      <c r="N4" s="5"/>
      <c r="O4" s="5"/>
      <c r="P4" s="5"/>
      <c r="Q4" s="5"/>
      <c r="R4" s="5"/>
      <c r="S4" s="5"/>
      <c r="T4" s="5"/>
      <c r="U4" s="5"/>
      <c r="V4" s="5"/>
      <c r="W4" s="5"/>
    </row>
    <row r="5" spans="1:23" ht="16" x14ac:dyDescent="0.2">
      <c r="A5" s="18" t="s">
        <v>116</v>
      </c>
      <c r="B5">
        <v>0</v>
      </c>
      <c r="C5">
        <v>11</v>
      </c>
      <c r="D5"/>
      <c r="E5">
        <v>11</v>
      </c>
      <c r="F5" s="5"/>
      <c r="G5" s="5"/>
      <c r="H5" s="5"/>
      <c r="I5" s="5"/>
      <c r="J5" s="5"/>
      <c r="K5" s="5"/>
      <c r="L5" s="5"/>
      <c r="M5" s="5"/>
      <c r="N5" s="5"/>
      <c r="O5" s="5"/>
      <c r="P5" s="5"/>
      <c r="Q5" s="5"/>
      <c r="R5" s="5"/>
      <c r="S5" s="5"/>
      <c r="T5" s="5"/>
      <c r="U5" s="5"/>
      <c r="V5" s="5"/>
      <c r="W5" s="5"/>
    </row>
    <row r="6" spans="1:23" ht="16" x14ac:dyDescent="0.2">
      <c r="B6">
        <v>1</v>
      </c>
      <c r="C6"/>
      <c r="D6">
        <v>69</v>
      </c>
      <c r="E6">
        <v>69</v>
      </c>
      <c r="F6" s="5"/>
      <c r="G6" s="5"/>
      <c r="H6" s="5"/>
      <c r="I6" s="5"/>
      <c r="J6" s="5"/>
      <c r="K6" s="5"/>
      <c r="L6" s="5"/>
      <c r="M6" s="5"/>
      <c r="N6" s="5"/>
      <c r="O6" s="5"/>
      <c r="P6" s="5"/>
      <c r="Q6" s="5"/>
      <c r="R6" s="5"/>
      <c r="S6" s="5"/>
      <c r="T6" s="5"/>
      <c r="U6" s="5"/>
      <c r="V6" s="5"/>
      <c r="W6" s="5"/>
    </row>
    <row r="7" spans="1:23" ht="16" x14ac:dyDescent="0.2">
      <c r="A7" s="21"/>
      <c r="B7" t="s">
        <v>102</v>
      </c>
      <c r="C7">
        <v>11</v>
      </c>
      <c r="D7">
        <v>69</v>
      </c>
      <c r="E7">
        <v>80</v>
      </c>
      <c r="H7" s="5"/>
      <c r="I7" s="5"/>
      <c r="J7" s="5"/>
      <c r="K7" s="5"/>
      <c r="L7" s="5"/>
      <c r="M7" s="5"/>
      <c r="N7" s="5"/>
      <c r="O7" s="5"/>
      <c r="P7" s="5"/>
      <c r="Q7" s="5"/>
      <c r="R7" s="5"/>
      <c r="S7" s="5"/>
      <c r="T7" s="5"/>
      <c r="U7" s="5"/>
      <c r="V7" s="5"/>
      <c r="W7" s="5"/>
    </row>
    <row r="8" spans="1:23" ht="16" x14ac:dyDescent="0.2">
      <c r="A8" s="5"/>
      <c r="B8" s="6"/>
      <c r="C8" s="6"/>
      <c r="D8" s="6"/>
      <c r="E8" s="6"/>
      <c r="F8" s="5"/>
      <c r="G8" s="5"/>
      <c r="H8" s="5"/>
      <c r="I8" s="5"/>
      <c r="J8" s="5"/>
      <c r="K8" s="5"/>
      <c r="L8" s="5"/>
      <c r="M8" s="5"/>
      <c r="N8" s="5"/>
      <c r="O8" s="5"/>
      <c r="P8" s="5"/>
      <c r="Q8" s="5"/>
      <c r="R8" s="5"/>
      <c r="S8" s="5"/>
      <c r="T8" s="5"/>
      <c r="U8" s="5"/>
      <c r="V8" s="5"/>
      <c r="W8" s="5"/>
    </row>
    <row r="9" spans="1:23" ht="16" x14ac:dyDescent="0.2">
      <c r="A9" s="10" t="s">
        <v>118</v>
      </c>
      <c r="B9" s="9"/>
      <c r="C9" s="9"/>
      <c r="D9" s="9"/>
      <c r="E9" s="9"/>
      <c r="F9" s="5"/>
      <c r="G9" s="5"/>
      <c r="H9" s="5"/>
      <c r="I9" s="5"/>
      <c r="J9" s="5"/>
      <c r="K9" s="5"/>
      <c r="L9" s="5"/>
      <c r="M9" s="5"/>
      <c r="N9" s="5"/>
      <c r="O9" s="5"/>
      <c r="P9" s="5"/>
      <c r="Q9" s="5"/>
      <c r="R9" s="5"/>
      <c r="S9" s="5"/>
      <c r="T9" s="5"/>
      <c r="U9" s="5"/>
      <c r="V9" s="5"/>
      <c r="W9" s="5"/>
    </row>
    <row r="10" spans="1:23" ht="16" x14ac:dyDescent="0.2">
      <c r="A10" s="5"/>
      <c r="B10" s="6"/>
      <c r="C10" s="6"/>
      <c r="D10" s="6"/>
      <c r="E10" s="6"/>
      <c r="F10" s="5"/>
      <c r="G10" s="5"/>
      <c r="H10" s="5"/>
      <c r="I10" s="5"/>
      <c r="J10" s="5"/>
      <c r="K10" s="5"/>
      <c r="L10" s="5"/>
      <c r="M10" s="5"/>
      <c r="N10" s="5"/>
      <c r="O10" s="5"/>
      <c r="P10" s="5"/>
      <c r="Q10" s="5"/>
      <c r="R10" s="5"/>
      <c r="S10" s="5"/>
      <c r="T10" s="5"/>
      <c r="U10" s="5"/>
      <c r="V10" s="5"/>
      <c r="W10" s="5"/>
    </row>
    <row r="11" spans="1:23" ht="16" x14ac:dyDescent="0.2">
      <c r="A11" s="5"/>
      <c r="C11" s="20" t="s">
        <v>117</v>
      </c>
      <c r="D11" s="19"/>
      <c r="E11" s="5" t="s">
        <v>115</v>
      </c>
      <c r="F11" s="5"/>
      <c r="G11" s="5"/>
      <c r="H11" s="5"/>
      <c r="I11" s="5"/>
      <c r="J11" s="5"/>
      <c r="K11" s="5"/>
      <c r="L11" s="5"/>
      <c r="M11" s="5"/>
      <c r="N11" s="5"/>
      <c r="O11" s="5"/>
      <c r="P11" s="5"/>
      <c r="Q11" s="5"/>
      <c r="R11" s="5"/>
      <c r="S11" s="5"/>
      <c r="T11" s="5"/>
      <c r="U11" s="5"/>
      <c r="V11" s="5"/>
      <c r="W11" s="5"/>
    </row>
    <row r="12" spans="1:23" ht="16" x14ac:dyDescent="0.2">
      <c r="C12" s="4">
        <v>0</v>
      </c>
      <c r="D12" s="4">
        <v>1</v>
      </c>
      <c r="E12" s="6" t="s">
        <v>102</v>
      </c>
      <c r="F12" s="5"/>
      <c r="G12" s="5"/>
      <c r="H12" s="5"/>
      <c r="I12" s="5"/>
      <c r="J12" s="5"/>
      <c r="K12" s="5"/>
      <c r="L12" s="5"/>
      <c r="M12" s="5"/>
      <c r="N12" s="5"/>
      <c r="O12" s="5"/>
      <c r="P12" s="5"/>
      <c r="Q12" s="5"/>
      <c r="R12" s="5"/>
      <c r="S12" s="5"/>
      <c r="T12" s="5"/>
      <c r="U12" s="5"/>
      <c r="V12" s="5"/>
      <c r="W12" s="5"/>
    </row>
    <row r="13" spans="1:23" ht="16" x14ac:dyDescent="0.2">
      <c r="A13" s="18" t="s">
        <v>116</v>
      </c>
      <c r="B13" s="4">
        <v>0</v>
      </c>
      <c r="C13" s="15">
        <f>C$15*$E13/$E$15</f>
        <v>1.5125</v>
      </c>
      <c r="D13" s="12">
        <f>D$15*$E13/$E$15</f>
        <v>9.4875000000000007</v>
      </c>
      <c r="E13">
        <v>11</v>
      </c>
      <c r="F13" s="5"/>
      <c r="G13" s="5"/>
      <c r="H13" s="5"/>
      <c r="I13" s="5"/>
      <c r="J13" s="5"/>
      <c r="K13" s="5"/>
      <c r="L13" s="5"/>
      <c r="M13" s="5"/>
      <c r="N13" s="5"/>
      <c r="O13" s="5"/>
      <c r="P13" s="5"/>
      <c r="Q13" s="5"/>
      <c r="R13" s="5"/>
      <c r="S13" s="5"/>
      <c r="T13" s="5"/>
      <c r="U13" s="5"/>
      <c r="V13" s="5"/>
      <c r="W13" s="5"/>
    </row>
    <row r="14" spans="1:23" ht="16" x14ac:dyDescent="0.2">
      <c r="B14" s="4">
        <v>1</v>
      </c>
      <c r="C14" s="12">
        <f>C$15*$E14/$E$15</f>
        <v>9.4875000000000007</v>
      </c>
      <c r="D14" s="15">
        <f>D$15*$E14/$E$15</f>
        <v>59.512500000000003</v>
      </c>
      <c r="E14">
        <v>69</v>
      </c>
      <c r="F14" s="5"/>
      <c r="G14" s="5"/>
      <c r="H14" s="5"/>
      <c r="I14" s="5"/>
      <c r="J14" s="5"/>
      <c r="K14" s="5"/>
      <c r="L14" s="5"/>
      <c r="M14" s="5"/>
      <c r="N14" s="5"/>
      <c r="O14" s="5"/>
      <c r="P14" s="5"/>
      <c r="Q14" s="5"/>
      <c r="R14" s="5"/>
      <c r="S14" s="5"/>
      <c r="T14" s="5"/>
      <c r="U14" s="5"/>
      <c r="V14" s="5"/>
      <c r="W14" s="5"/>
    </row>
    <row r="15" spans="1:23" ht="16" x14ac:dyDescent="0.2">
      <c r="A15" s="17" t="s">
        <v>115</v>
      </c>
      <c r="C15">
        <v>11</v>
      </c>
      <c r="D15">
        <v>69</v>
      </c>
      <c r="E15">
        <v>80</v>
      </c>
      <c r="F15" s="5"/>
      <c r="G15" s="5"/>
      <c r="H15" s="5"/>
      <c r="I15" s="5"/>
      <c r="J15" s="5"/>
      <c r="K15" s="5"/>
      <c r="L15" s="5"/>
      <c r="M15" s="5"/>
      <c r="N15" s="5"/>
      <c r="O15" s="5"/>
      <c r="P15" s="5"/>
      <c r="Q15" s="5"/>
      <c r="R15" s="5"/>
      <c r="S15" s="5"/>
      <c r="T15" s="5"/>
      <c r="U15" s="5"/>
      <c r="V15" s="5"/>
      <c r="W15" s="5"/>
    </row>
    <row r="16" spans="1:23" ht="16" x14ac:dyDescent="0.2">
      <c r="A16" s="5"/>
      <c r="B16" s="6"/>
      <c r="C16" s="6"/>
      <c r="D16" s="6"/>
      <c r="E16" s="6"/>
      <c r="F16" s="5"/>
      <c r="G16" s="5"/>
      <c r="H16" s="5"/>
      <c r="I16" s="5"/>
      <c r="J16" s="5"/>
      <c r="K16" s="5"/>
      <c r="L16" s="5"/>
      <c r="M16" s="5"/>
      <c r="N16" s="5"/>
      <c r="O16" s="5"/>
      <c r="P16" s="5"/>
      <c r="Q16" s="5"/>
      <c r="R16" s="5"/>
      <c r="S16" s="5"/>
      <c r="T16" s="5"/>
      <c r="U16" s="5"/>
      <c r="V16" s="5"/>
      <c r="W16" s="5"/>
    </row>
    <row r="17" spans="1:23" ht="16" x14ac:dyDescent="0.2">
      <c r="A17" s="10" t="s">
        <v>114</v>
      </c>
      <c r="B17" s="9"/>
      <c r="C17" s="9"/>
      <c r="D17" s="9"/>
      <c r="E17" s="9"/>
      <c r="F17" s="5"/>
      <c r="G17" s="5"/>
      <c r="H17" s="5"/>
      <c r="I17" s="5"/>
      <c r="J17" s="5"/>
      <c r="K17" s="5"/>
      <c r="L17" s="5"/>
      <c r="M17" s="5"/>
      <c r="N17" s="5"/>
      <c r="O17" s="5"/>
      <c r="P17" s="5"/>
      <c r="Q17" s="5"/>
      <c r="R17" s="5"/>
      <c r="S17" s="5"/>
      <c r="T17" s="5"/>
      <c r="U17" s="5"/>
      <c r="V17" s="5"/>
      <c r="W17" s="5"/>
    </row>
    <row r="18" spans="1:23" ht="16" x14ac:dyDescent="0.2">
      <c r="B18" s="6"/>
      <c r="C18" s="6"/>
      <c r="D18" s="6"/>
      <c r="E18" s="6"/>
      <c r="F18" s="5"/>
      <c r="G18" s="5"/>
      <c r="H18" s="5"/>
      <c r="I18" s="5"/>
      <c r="J18" s="5"/>
      <c r="K18" s="5"/>
      <c r="L18" s="5"/>
      <c r="M18" s="5"/>
      <c r="N18" s="5"/>
      <c r="O18" s="5"/>
      <c r="P18" s="5"/>
      <c r="Q18" s="5"/>
      <c r="R18" s="5"/>
      <c r="S18" s="5"/>
      <c r="T18" s="5"/>
      <c r="U18" s="5"/>
      <c r="V18" s="5"/>
      <c r="W18" s="5"/>
    </row>
    <row r="19" spans="1:23" ht="16" x14ac:dyDescent="0.2">
      <c r="B19" s="6" t="s">
        <v>113</v>
      </c>
      <c r="C19" s="6" t="s">
        <v>112</v>
      </c>
      <c r="D19" s="6"/>
      <c r="E19" s="6"/>
      <c r="F19" s="5"/>
      <c r="G19" s="5"/>
      <c r="H19" s="5"/>
      <c r="I19" s="5"/>
      <c r="J19" s="5"/>
      <c r="K19" s="5"/>
      <c r="L19" s="5"/>
      <c r="M19" s="5"/>
      <c r="N19" s="5"/>
      <c r="O19" s="5"/>
      <c r="P19" s="5"/>
      <c r="Q19" s="5"/>
      <c r="R19" s="5"/>
      <c r="S19" s="5"/>
      <c r="T19" s="5"/>
      <c r="U19" s="5"/>
      <c r="V19" s="5"/>
      <c r="W19" s="5"/>
    </row>
    <row r="20" spans="1:23" ht="16" x14ac:dyDescent="0.2">
      <c r="A20" s="5" t="s">
        <v>111</v>
      </c>
      <c r="B20" s="6">
        <f>SUM(C5,D6)</f>
        <v>80</v>
      </c>
      <c r="C20" s="16">
        <f>B20/B22</f>
        <v>1</v>
      </c>
      <c r="D20" s="6"/>
      <c r="E20" s="6"/>
      <c r="F20" s="5"/>
      <c r="G20" s="5"/>
      <c r="H20" s="5"/>
      <c r="I20" s="5"/>
      <c r="J20" s="5"/>
      <c r="K20" s="5"/>
      <c r="L20" s="5"/>
      <c r="M20" s="5"/>
      <c r="N20" s="5"/>
      <c r="O20" s="5"/>
      <c r="P20" s="5"/>
      <c r="Q20" s="5"/>
      <c r="R20" s="5"/>
      <c r="S20" s="5"/>
      <c r="T20" s="5"/>
      <c r="U20" s="5"/>
      <c r="V20" s="5"/>
      <c r="W20" s="5"/>
    </row>
    <row r="21" spans="1:23" ht="16" x14ac:dyDescent="0.2">
      <c r="A21" s="5" t="s">
        <v>110</v>
      </c>
      <c r="B21" s="6">
        <f>SUM(C13,D14)</f>
        <v>61.025000000000006</v>
      </c>
      <c r="C21" s="16">
        <f>B21/B22</f>
        <v>0.76281250000000012</v>
      </c>
      <c r="D21" s="6"/>
      <c r="E21" s="6"/>
      <c r="F21" s="5"/>
      <c r="G21" s="5"/>
      <c r="H21" s="5"/>
      <c r="I21" s="5"/>
      <c r="J21" s="5"/>
      <c r="K21" s="5"/>
      <c r="L21" s="5"/>
      <c r="M21" s="5"/>
      <c r="N21" s="5"/>
      <c r="O21" s="5"/>
      <c r="P21" s="5"/>
      <c r="Q21" s="5"/>
      <c r="R21" s="5"/>
      <c r="S21" s="5"/>
      <c r="T21" s="5"/>
      <c r="U21" s="5"/>
      <c r="V21" s="5"/>
      <c r="W21" s="5"/>
    </row>
    <row r="22" spans="1:23" ht="16" x14ac:dyDescent="0.2">
      <c r="A22" s="5" t="s">
        <v>109</v>
      </c>
      <c r="B22" s="6">
        <f>E15</f>
        <v>80</v>
      </c>
      <c r="C22" s="16">
        <v>1</v>
      </c>
      <c r="D22" s="6"/>
      <c r="E22" s="15" t="s">
        <v>108</v>
      </c>
      <c r="F22" s="5"/>
      <c r="G22" s="5"/>
      <c r="H22" s="5"/>
      <c r="I22" s="5"/>
      <c r="J22" s="5"/>
      <c r="K22" s="5"/>
      <c r="L22" s="5"/>
      <c r="M22" s="5"/>
      <c r="N22" s="5"/>
      <c r="O22" s="5"/>
      <c r="P22" s="5"/>
      <c r="Q22" s="5"/>
      <c r="R22" s="5"/>
      <c r="S22" s="5"/>
      <c r="T22" s="5"/>
      <c r="U22" s="5"/>
      <c r="V22" s="5"/>
      <c r="W22" s="5"/>
    </row>
    <row r="23" spans="1:23" ht="16" x14ac:dyDescent="0.2">
      <c r="A23" s="11" t="s">
        <v>107</v>
      </c>
      <c r="B23" s="14">
        <f>(B20-B21)/(B22-B21)</f>
        <v>1</v>
      </c>
      <c r="C23" s="14">
        <f>(C20-C21)/(C22-C21)</f>
        <v>1</v>
      </c>
      <c r="D23" s="13"/>
      <c r="E23" s="12" t="s">
        <v>106</v>
      </c>
      <c r="F23" s="11"/>
      <c r="G23" s="11"/>
      <c r="H23" s="11"/>
      <c r="I23" s="11"/>
      <c r="J23" s="11"/>
      <c r="K23" s="11"/>
      <c r="L23" s="11"/>
      <c r="M23" s="11"/>
      <c r="N23" s="11"/>
      <c r="O23" s="11"/>
      <c r="P23" s="11"/>
      <c r="Q23" s="11"/>
      <c r="R23" s="11"/>
      <c r="S23" s="11"/>
      <c r="T23" s="11"/>
      <c r="U23" s="11"/>
      <c r="V23" s="11"/>
      <c r="W23" s="11"/>
    </row>
    <row r="24" spans="1:23" ht="16" x14ac:dyDescent="0.2">
      <c r="A24" s="5"/>
      <c r="B24" s="6"/>
      <c r="C24" s="6"/>
      <c r="D24" s="6"/>
      <c r="E24" s="6"/>
      <c r="F24" s="5"/>
      <c r="G24" s="5"/>
      <c r="H24" s="5"/>
      <c r="I24" s="5"/>
      <c r="J24" s="5"/>
      <c r="K24" s="5"/>
      <c r="L24" s="5"/>
      <c r="M24" s="5"/>
      <c r="N24" s="5"/>
      <c r="O24" s="5"/>
      <c r="P24" s="5"/>
      <c r="Q24" s="5"/>
      <c r="R24" s="5"/>
      <c r="S24" s="5"/>
      <c r="T24" s="5"/>
      <c r="U24" s="5"/>
      <c r="V24" s="5"/>
      <c r="W24" s="5"/>
    </row>
    <row r="25" spans="1:23" ht="16" x14ac:dyDescent="0.2">
      <c r="A25" s="10"/>
      <c r="B25" s="9"/>
      <c r="C25" s="9"/>
      <c r="D25" s="9"/>
      <c r="E25" s="9"/>
      <c r="F25" s="5"/>
      <c r="G25" s="5"/>
      <c r="H25" s="5"/>
      <c r="I25" s="5"/>
      <c r="J25" s="5"/>
      <c r="K25" s="5"/>
      <c r="L25" s="5"/>
      <c r="M25" s="5"/>
      <c r="N25" s="5"/>
      <c r="O25" s="5"/>
      <c r="P25" s="5"/>
      <c r="Q25" s="5"/>
      <c r="R25" s="5"/>
      <c r="S25" s="5"/>
      <c r="T25" s="5"/>
      <c r="U25" s="5"/>
      <c r="V25" s="5"/>
      <c r="W25" s="5"/>
    </row>
    <row r="26" spans="1:23" ht="16" x14ac:dyDescent="0.2">
      <c r="A26" s="5"/>
      <c r="B26" s="6"/>
      <c r="C26" s="6"/>
      <c r="D26" s="6"/>
      <c r="E26" s="6"/>
      <c r="F26" s="5"/>
      <c r="G26" s="5"/>
      <c r="H26" s="5"/>
      <c r="I26" s="5"/>
      <c r="J26" s="5"/>
      <c r="K26" s="5"/>
      <c r="L26" s="5"/>
      <c r="M26" s="5"/>
      <c r="N26" s="5"/>
      <c r="O26" s="5"/>
      <c r="P26" s="5"/>
      <c r="Q26" s="5"/>
      <c r="R26" s="5"/>
      <c r="S26" s="5"/>
      <c r="T26" s="5"/>
      <c r="U26" s="5"/>
      <c r="V26" s="5"/>
      <c r="W26" s="5"/>
    </row>
    <row r="27" spans="1:23" ht="16" x14ac:dyDescent="0.2">
      <c r="A27" s="5"/>
      <c r="B27" s="6"/>
      <c r="C27" s="6"/>
      <c r="D27" s="6"/>
      <c r="E27" s="6"/>
      <c r="F27" s="5"/>
      <c r="G27" s="5"/>
      <c r="H27" s="5"/>
      <c r="I27" s="5"/>
      <c r="J27" s="5"/>
      <c r="K27" s="5"/>
      <c r="L27" s="5"/>
      <c r="M27" s="5"/>
      <c r="N27" s="5"/>
      <c r="O27" s="5"/>
      <c r="P27" s="5"/>
      <c r="Q27" s="5"/>
      <c r="R27" s="5"/>
      <c r="S27" s="5"/>
      <c r="T27" s="5"/>
      <c r="U27" s="5"/>
      <c r="V27" s="5"/>
      <c r="W27" s="5"/>
    </row>
    <row r="28" spans="1:23" ht="16" x14ac:dyDescent="0.2">
      <c r="A28" s="8" t="s">
        <v>105</v>
      </c>
      <c r="B28" s="8" t="s">
        <v>104</v>
      </c>
      <c r="C28"/>
      <c r="D28"/>
      <c r="E28" s="6"/>
      <c r="F28" s="5"/>
      <c r="G28" s="5"/>
      <c r="H28" s="5"/>
      <c r="I28" s="5"/>
      <c r="J28" s="5"/>
      <c r="K28" s="5"/>
      <c r="L28" s="5"/>
      <c r="M28" s="5"/>
      <c r="N28" s="5"/>
      <c r="O28" s="5"/>
      <c r="P28" s="5"/>
      <c r="Q28" s="5"/>
      <c r="R28" s="5"/>
      <c r="S28" s="5"/>
      <c r="T28" s="5"/>
      <c r="U28" s="5"/>
      <c r="V28" s="5"/>
      <c r="W28" s="5"/>
    </row>
    <row r="29" spans="1:23" ht="16" x14ac:dyDescent="0.2">
      <c r="A29" s="8" t="s">
        <v>103</v>
      </c>
      <c r="B29">
        <v>0</v>
      </c>
      <c r="C29">
        <v>1</v>
      </c>
      <c r="D29" t="s">
        <v>102</v>
      </c>
      <c r="E29" s="6"/>
      <c r="F29" s="5"/>
      <c r="G29" s="5"/>
      <c r="H29" s="5"/>
      <c r="I29" s="5"/>
      <c r="J29" s="5"/>
      <c r="K29" s="5"/>
      <c r="L29" s="5"/>
      <c r="M29" s="5"/>
      <c r="N29" s="5"/>
      <c r="O29" s="5"/>
      <c r="P29" s="5"/>
      <c r="Q29" s="5"/>
      <c r="R29" s="5"/>
      <c r="S29" s="5"/>
      <c r="T29" s="5"/>
      <c r="U29" s="5"/>
      <c r="V29" s="5"/>
      <c r="W29" s="5"/>
    </row>
    <row r="30" spans="1:23" ht="16" x14ac:dyDescent="0.2">
      <c r="A30" s="7">
        <v>0</v>
      </c>
      <c r="B30" s="23">
        <v>11</v>
      </c>
      <c r="C30" s="23"/>
      <c r="D30" s="23">
        <v>11</v>
      </c>
      <c r="E30" s="6"/>
      <c r="F30" s="5"/>
      <c r="G30" s="5"/>
      <c r="H30" s="5"/>
      <c r="I30" s="5"/>
      <c r="J30" s="5"/>
      <c r="K30" s="5"/>
      <c r="L30" s="5"/>
      <c r="M30" s="5"/>
      <c r="N30" s="5"/>
      <c r="O30" s="5"/>
      <c r="P30" s="5"/>
      <c r="Q30" s="5"/>
      <c r="R30" s="5"/>
      <c r="S30" s="5"/>
      <c r="T30" s="5"/>
      <c r="U30" s="5"/>
      <c r="V30" s="5"/>
      <c r="W30" s="5"/>
    </row>
    <row r="31" spans="1:23" ht="16" x14ac:dyDescent="0.2">
      <c r="A31" s="7">
        <v>1</v>
      </c>
      <c r="B31" s="23"/>
      <c r="C31" s="23">
        <v>69</v>
      </c>
      <c r="D31" s="23">
        <v>69</v>
      </c>
      <c r="E31" s="6"/>
      <c r="F31" s="5"/>
      <c r="G31" s="5"/>
      <c r="H31" s="5"/>
      <c r="I31" s="5"/>
      <c r="J31" s="5"/>
      <c r="K31" s="5"/>
      <c r="L31" s="5"/>
      <c r="M31" s="5"/>
      <c r="N31" s="5"/>
      <c r="O31" s="5"/>
      <c r="P31" s="5"/>
      <c r="Q31" s="5"/>
      <c r="R31" s="5"/>
      <c r="S31" s="5"/>
      <c r="T31" s="5"/>
      <c r="U31" s="5"/>
      <c r="V31" s="5"/>
      <c r="W31" s="5"/>
    </row>
    <row r="32" spans="1:23" ht="16" x14ac:dyDescent="0.2">
      <c r="A32" s="7" t="s">
        <v>102</v>
      </c>
      <c r="B32" s="23">
        <v>11</v>
      </c>
      <c r="C32" s="23">
        <v>69</v>
      </c>
      <c r="D32" s="23">
        <v>80</v>
      </c>
      <c r="E32" s="6"/>
      <c r="F32" s="5"/>
      <c r="G32" s="5"/>
      <c r="H32" s="5"/>
      <c r="I32" s="5"/>
      <c r="J32" s="5"/>
      <c r="K32" s="5"/>
      <c r="L32" s="5"/>
      <c r="M32" s="5"/>
      <c r="N32" s="5"/>
      <c r="O32" s="5"/>
      <c r="P32" s="5"/>
      <c r="Q32" s="5"/>
      <c r="R32" s="5"/>
      <c r="S32" s="5"/>
      <c r="T32" s="5"/>
      <c r="U32" s="5"/>
      <c r="V32" s="5"/>
      <c r="W32" s="5"/>
    </row>
    <row r="33" spans="1:23" ht="16" x14ac:dyDescent="0.2">
      <c r="A33"/>
      <c r="B33"/>
      <c r="C33"/>
      <c r="D33"/>
      <c r="E33" s="6"/>
      <c r="F33" s="5"/>
      <c r="G33" s="5"/>
      <c r="H33" s="5"/>
      <c r="I33" s="5"/>
      <c r="J33" s="5"/>
      <c r="K33" s="5"/>
      <c r="L33" s="5"/>
      <c r="M33" s="5"/>
      <c r="N33" s="5"/>
      <c r="O33" s="5"/>
      <c r="P33" s="5"/>
      <c r="Q33" s="5"/>
      <c r="R33" s="5"/>
      <c r="S33" s="5"/>
      <c r="T33" s="5"/>
      <c r="U33" s="5"/>
      <c r="V33" s="5"/>
      <c r="W33" s="5"/>
    </row>
    <row r="34" spans="1:23" ht="16" x14ac:dyDescent="0.2">
      <c r="A34"/>
      <c r="B34"/>
      <c r="C34"/>
      <c r="D34"/>
      <c r="E34" s="6"/>
      <c r="F34" s="5"/>
      <c r="G34" s="5"/>
      <c r="H34" s="5"/>
      <c r="I34" s="5"/>
      <c r="J34" s="5"/>
      <c r="K34" s="5"/>
      <c r="L34" s="5"/>
      <c r="M34" s="5"/>
      <c r="N34" s="5"/>
      <c r="O34" s="5"/>
      <c r="P34" s="5"/>
      <c r="Q34" s="5"/>
      <c r="R34" s="5"/>
      <c r="S34" s="5"/>
      <c r="T34" s="5"/>
      <c r="U34" s="5"/>
      <c r="V34" s="5"/>
      <c r="W34" s="5"/>
    </row>
    <row r="35" spans="1:23" ht="16" x14ac:dyDescent="0.2">
      <c r="A35" t="s">
        <v>103</v>
      </c>
      <c r="B35">
        <v>0</v>
      </c>
      <c r="C35">
        <v>1</v>
      </c>
      <c r="D35" t="s">
        <v>102</v>
      </c>
      <c r="E35" s="6"/>
      <c r="F35" s="5"/>
      <c r="G35" s="5"/>
      <c r="H35" s="5"/>
      <c r="I35" s="5"/>
      <c r="J35" s="5"/>
      <c r="K35" s="5"/>
      <c r="L35" s="5"/>
      <c r="M35" s="5"/>
      <c r="N35" s="5"/>
      <c r="O35" s="5"/>
      <c r="P35" s="5"/>
      <c r="Q35" s="5"/>
      <c r="R35" s="5"/>
      <c r="S35" s="5"/>
      <c r="T35" s="5"/>
      <c r="U35" s="5"/>
      <c r="V35" s="5"/>
      <c r="W35" s="5"/>
    </row>
    <row r="36" spans="1:23" ht="16" x14ac:dyDescent="0.2">
      <c r="A36">
        <v>0</v>
      </c>
      <c r="B36">
        <v>11</v>
      </c>
      <c r="C36"/>
      <c r="D36">
        <v>11</v>
      </c>
      <c r="E36" s="6"/>
      <c r="F36" s="5"/>
      <c r="G36" s="5"/>
      <c r="H36" s="5"/>
      <c r="I36" s="5"/>
      <c r="J36" s="5"/>
      <c r="K36" s="5"/>
      <c r="L36" s="5"/>
      <c r="M36" s="5"/>
      <c r="N36" s="5"/>
      <c r="O36" s="5"/>
      <c r="P36" s="5"/>
      <c r="Q36" s="5"/>
      <c r="R36" s="5"/>
      <c r="S36" s="5"/>
      <c r="T36" s="5"/>
      <c r="U36" s="5"/>
      <c r="V36" s="5"/>
      <c r="W36" s="5"/>
    </row>
    <row r="37" spans="1:23" ht="16" x14ac:dyDescent="0.2">
      <c r="A37">
        <v>1</v>
      </c>
      <c r="B37"/>
      <c r="C37">
        <v>69</v>
      </c>
      <c r="D37">
        <v>69</v>
      </c>
      <c r="E37" s="6"/>
      <c r="F37" s="5"/>
      <c r="G37" s="5"/>
      <c r="H37" s="5"/>
      <c r="I37" s="5"/>
      <c r="J37" s="5"/>
      <c r="K37" s="5"/>
      <c r="L37" s="5"/>
      <c r="M37" s="5"/>
      <c r="N37" s="5"/>
      <c r="O37" s="5"/>
      <c r="P37" s="5"/>
      <c r="Q37" s="5"/>
      <c r="R37" s="5"/>
      <c r="S37" s="5"/>
      <c r="T37" s="5"/>
      <c r="U37" s="5"/>
      <c r="V37" s="5"/>
      <c r="W37" s="5"/>
    </row>
    <row r="38" spans="1:23" ht="16" x14ac:dyDescent="0.2">
      <c r="A38" t="s">
        <v>102</v>
      </c>
      <c r="B38">
        <v>11</v>
      </c>
      <c r="C38">
        <v>69</v>
      </c>
      <c r="D38">
        <v>80</v>
      </c>
      <c r="E38" s="6"/>
      <c r="F38" s="5"/>
      <c r="G38" s="5"/>
      <c r="H38" s="5"/>
      <c r="I38" s="5"/>
      <c r="J38" s="5"/>
      <c r="K38" s="5"/>
      <c r="L38" s="5"/>
      <c r="M38" s="5"/>
      <c r="N38" s="5"/>
      <c r="O38" s="5"/>
      <c r="P38" s="5"/>
      <c r="Q38" s="5"/>
      <c r="R38" s="5"/>
      <c r="S38" s="5"/>
      <c r="T38" s="5"/>
      <c r="U38" s="5"/>
      <c r="V38" s="5"/>
      <c r="W38" s="5"/>
    </row>
    <row r="39" spans="1:23" ht="16" x14ac:dyDescent="0.2">
      <c r="A39"/>
      <c r="B39"/>
      <c r="C39"/>
      <c r="D39" s="6"/>
      <c r="E39" s="6"/>
      <c r="F39" s="5"/>
      <c r="G39" s="5"/>
      <c r="H39" s="5"/>
      <c r="I39" s="5"/>
      <c r="J39" s="5"/>
      <c r="K39" s="5"/>
      <c r="L39" s="5"/>
      <c r="M39" s="5"/>
      <c r="N39" s="5"/>
      <c r="O39" s="5"/>
      <c r="P39" s="5"/>
      <c r="Q39" s="5"/>
      <c r="R39" s="5"/>
      <c r="S39" s="5"/>
      <c r="T39" s="5"/>
      <c r="U39" s="5"/>
      <c r="V39" s="5"/>
      <c r="W39" s="5"/>
    </row>
    <row r="40" spans="1:23" ht="16" x14ac:dyDescent="0.2">
      <c r="A40"/>
      <c r="B40"/>
      <c r="C40"/>
      <c r="D40" s="6"/>
      <c r="E40" s="6"/>
      <c r="F40" s="5"/>
      <c r="G40" s="5"/>
      <c r="H40" s="5"/>
      <c r="I40" s="5"/>
      <c r="J40" s="5"/>
      <c r="K40" s="5"/>
      <c r="L40" s="5"/>
      <c r="M40" s="5"/>
      <c r="N40" s="5"/>
      <c r="O40" s="5"/>
      <c r="P40" s="5"/>
      <c r="Q40" s="5"/>
      <c r="R40" s="5"/>
      <c r="S40" s="5"/>
      <c r="T40" s="5"/>
      <c r="U40" s="5"/>
      <c r="V40" s="5"/>
      <c r="W40" s="5"/>
    </row>
    <row r="41" spans="1:23" ht="16" x14ac:dyDescent="0.2">
      <c r="A41"/>
      <c r="B41"/>
      <c r="C41"/>
      <c r="D41" s="6"/>
      <c r="E41" s="6"/>
      <c r="F41" s="5"/>
      <c r="G41" s="5"/>
      <c r="H41" s="5"/>
      <c r="I41" s="5"/>
      <c r="J41" s="5"/>
      <c r="K41" s="5"/>
      <c r="L41" s="5"/>
      <c r="M41" s="5"/>
      <c r="N41" s="5"/>
      <c r="O41" s="5"/>
      <c r="P41" s="5"/>
      <c r="Q41" s="5"/>
      <c r="R41" s="5"/>
      <c r="S41" s="5"/>
      <c r="T41" s="5"/>
      <c r="U41" s="5"/>
      <c r="V41" s="5"/>
      <c r="W41" s="5"/>
    </row>
    <row r="42" spans="1:23" ht="16" x14ac:dyDescent="0.2">
      <c r="A42"/>
      <c r="B42"/>
      <c r="C42"/>
      <c r="D42" s="6"/>
      <c r="E42" s="6"/>
      <c r="F42" s="5"/>
      <c r="G42" s="5"/>
      <c r="H42" s="5"/>
      <c r="I42" s="5"/>
      <c r="J42" s="5"/>
      <c r="K42" s="5"/>
      <c r="L42" s="5"/>
      <c r="M42" s="5"/>
      <c r="N42" s="5"/>
      <c r="O42" s="5"/>
      <c r="P42" s="5"/>
      <c r="Q42" s="5"/>
      <c r="R42" s="5"/>
      <c r="S42" s="5"/>
      <c r="T42" s="5"/>
      <c r="U42" s="5"/>
      <c r="V42" s="5"/>
      <c r="W42" s="5"/>
    </row>
    <row r="43" spans="1:23" ht="16" x14ac:dyDescent="0.2">
      <c r="A43"/>
      <c r="B43"/>
      <c r="C43"/>
      <c r="D43" s="6"/>
      <c r="E43" s="6"/>
      <c r="F43" s="5"/>
      <c r="G43" s="5"/>
      <c r="H43" s="5"/>
      <c r="I43" s="5"/>
      <c r="J43" s="5"/>
      <c r="K43" s="5"/>
      <c r="L43" s="5"/>
      <c r="M43" s="5"/>
      <c r="N43" s="5"/>
      <c r="O43" s="5"/>
      <c r="P43" s="5"/>
      <c r="Q43" s="5"/>
      <c r="R43" s="5"/>
      <c r="S43" s="5"/>
      <c r="T43" s="5"/>
      <c r="U43" s="5"/>
      <c r="V43" s="5"/>
      <c r="W43" s="5"/>
    </row>
    <row r="44" spans="1:23" ht="16" x14ac:dyDescent="0.2">
      <c r="A44"/>
      <c r="B44"/>
      <c r="C44"/>
      <c r="D44" s="6"/>
      <c r="E44" s="6"/>
      <c r="F44" s="5"/>
      <c r="G44" s="5"/>
      <c r="H44" s="5"/>
      <c r="I44" s="5"/>
      <c r="J44" s="5"/>
      <c r="K44" s="5"/>
      <c r="L44" s="5"/>
      <c r="M44" s="5"/>
      <c r="N44" s="5"/>
      <c r="O44" s="5"/>
      <c r="P44" s="5"/>
      <c r="Q44" s="5"/>
      <c r="R44" s="5"/>
      <c r="S44" s="5"/>
      <c r="T44" s="5"/>
      <c r="U44" s="5"/>
      <c r="V44" s="5"/>
      <c r="W44" s="5"/>
    </row>
    <row r="45" spans="1:23" ht="16" x14ac:dyDescent="0.2">
      <c r="A45"/>
      <c r="B45"/>
      <c r="C45"/>
      <c r="D45" s="6"/>
      <c r="E45" s="6"/>
      <c r="F45" s="5"/>
      <c r="G45" s="5"/>
      <c r="H45" s="5"/>
      <c r="I45" s="5"/>
      <c r="J45" s="5"/>
      <c r="K45" s="5"/>
      <c r="L45" s="5"/>
      <c r="M45" s="5"/>
      <c r="N45" s="5"/>
      <c r="O45" s="5"/>
      <c r="P45" s="5"/>
      <c r="Q45" s="5"/>
      <c r="R45" s="5"/>
      <c r="S45" s="5"/>
      <c r="T45" s="5"/>
      <c r="U45" s="5"/>
      <c r="V45" s="5"/>
      <c r="W45" s="5"/>
    </row>
    <row r="46" spans="1:23" ht="16" x14ac:dyDescent="0.2">
      <c r="A46"/>
      <c r="B46"/>
      <c r="C46"/>
      <c r="D46" s="6"/>
      <c r="E46" s="6"/>
      <c r="F46" s="5"/>
      <c r="G46" s="5"/>
      <c r="H46" s="5"/>
      <c r="I46" s="5"/>
      <c r="J46" s="5"/>
      <c r="K46" s="5"/>
      <c r="L46" s="5"/>
      <c r="M46" s="5"/>
      <c r="N46" s="5"/>
      <c r="O46" s="5"/>
      <c r="P46" s="5"/>
      <c r="Q46" s="5"/>
      <c r="R46" s="5"/>
      <c r="S46" s="5"/>
      <c r="T46" s="5"/>
      <c r="U46" s="5"/>
      <c r="V46" s="5"/>
      <c r="W46" s="5"/>
    </row>
    <row r="47" spans="1:23" ht="16" x14ac:dyDescent="0.2">
      <c r="A47" s="5"/>
      <c r="B47" s="6"/>
      <c r="C47" s="6"/>
      <c r="D47" s="6"/>
      <c r="E47" s="6"/>
      <c r="F47" s="5"/>
      <c r="G47" s="5"/>
      <c r="H47" s="5"/>
      <c r="I47" s="5"/>
      <c r="J47" s="5"/>
      <c r="K47" s="5"/>
      <c r="L47" s="5"/>
      <c r="M47" s="5"/>
      <c r="N47" s="5"/>
      <c r="O47" s="5"/>
      <c r="P47" s="5"/>
      <c r="Q47" s="5"/>
      <c r="R47" s="5"/>
      <c r="S47" s="5"/>
      <c r="T47" s="5"/>
      <c r="U47" s="5"/>
      <c r="V47" s="5"/>
      <c r="W47" s="5"/>
    </row>
    <row r="48" spans="1:23" ht="16" x14ac:dyDescent="0.2">
      <c r="A48" s="5"/>
      <c r="B48" s="6"/>
      <c r="C48" s="6"/>
      <c r="D48" s="6"/>
      <c r="E48" s="6"/>
      <c r="F48" s="5"/>
      <c r="G48" s="5"/>
      <c r="H48" s="5"/>
      <c r="I48" s="5"/>
      <c r="J48" s="5"/>
      <c r="K48" s="5"/>
      <c r="L48" s="5"/>
      <c r="M48" s="5"/>
      <c r="N48" s="5"/>
      <c r="O48" s="5"/>
      <c r="P48" s="5"/>
      <c r="Q48" s="5"/>
      <c r="R48" s="5"/>
      <c r="S48" s="5"/>
      <c r="T48" s="5"/>
      <c r="U48" s="5"/>
      <c r="V48" s="5"/>
      <c r="W48" s="5"/>
    </row>
    <row r="49" spans="1:23" ht="16" x14ac:dyDescent="0.2">
      <c r="A49" s="5"/>
      <c r="B49" s="6"/>
      <c r="C49" s="6"/>
      <c r="D49" s="6"/>
      <c r="E49" s="6"/>
      <c r="F49" s="5"/>
      <c r="G49" s="5"/>
      <c r="H49" s="5"/>
      <c r="I49" s="5"/>
      <c r="J49" s="5"/>
      <c r="K49" s="5"/>
      <c r="L49" s="5"/>
      <c r="M49" s="5"/>
      <c r="N49" s="5"/>
      <c r="O49" s="5"/>
      <c r="P49" s="5"/>
      <c r="Q49" s="5"/>
      <c r="R49" s="5"/>
      <c r="S49" s="5"/>
      <c r="T49" s="5"/>
      <c r="U49" s="5"/>
      <c r="V49" s="5"/>
      <c r="W49" s="5"/>
    </row>
    <row r="50" spans="1:23" ht="16" x14ac:dyDescent="0.2">
      <c r="A50" s="5"/>
      <c r="B50" s="6"/>
      <c r="C50" s="6"/>
      <c r="D50" s="6"/>
      <c r="E50" s="6"/>
      <c r="F50" s="5"/>
      <c r="G50" s="5"/>
      <c r="H50" s="5"/>
      <c r="I50" s="5"/>
      <c r="J50" s="5"/>
      <c r="K50" s="5"/>
      <c r="L50" s="5"/>
      <c r="M50" s="5"/>
      <c r="N50" s="5"/>
      <c r="O50" s="5"/>
      <c r="P50" s="5"/>
      <c r="Q50" s="5"/>
      <c r="R50" s="5"/>
      <c r="S50" s="5"/>
      <c r="T50" s="5"/>
      <c r="U50" s="5"/>
      <c r="V50" s="5"/>
      <c r="W50" s="5"/>
    </row>
    <row r="51" spans="1:23" ht="16" x14ac:dyDescent="0.2">
      <c r="A51" s="5"/>
      <c r="B51" s="6"/>
      <c r="C51" s="6"/>
      <c r="D51" s="6"/>
      <c r="E51" s="6"/>
      <c r="F51" s="5"/>
      <c r="G51" s="5"/>
      <c r="H51" s="5"/>
      <c r="I51" s="5"/>
      <c r="J51" s="5"/>
      <c r="K51" s="5"/>
      <c r="L51" s="5"/>
      <c r="M51" s="5"/>
      <c r="N51" s="5"/>
      <c r="O51" s="5"/>
      <c r="P51" s="5"/>
      <c r="Q51" s="5"/>
      <c r="R51" s="5"/>
      <c r="S51" s="5"/>
      <c r="T51" s="5"/>
      <c r="U51" s="5"/>
      <c r="V51" s="5"/>
      <c r="W51" s="5"/>
    </row>
    <row r="52" spans="1:23" ht="16" x14ac:dyDescent="0.2">
      <c r="A52" s="5"/>
      <c r="B52" s="6"/>
      <c r="C52" s="6"/>
      <c r="D52" s="6"/>
      <c r="E52" s="6"/>
      <c r="F52" s="5"/>
      <c r="G52" s="5"/>
      <c r="H52" s="5"/>
      <c r="I52" s="5"/>
      <c r="J52" s="5"/>
      <c r="K52" s="5"/>
      <c r="L52" s="5"/>
      <c r="M52" s="5"/>
      <c r="N52" s="5"/>
      <c r="O52" s="5"/>
      <c r="P52" s="5"/>
      <c r="Q52" s="5"/>
      <c r="R52" s="5"/>
      <c r="S52" s="5"/>
      <c r="T52" s="5"/>
      <c r="U52" s="5"/>
      <c r="V52" s="5"/>
      <c r="W52" s="5"/>
    </row>
    <row r="53" spans="1:23" ht="16" x14ac:dyDescent="0.2">
      <c r="A53" s="5"/>
      <c r="B53" s="6"/>
      <c r="C53" s="6"/>
      <c r="D53" s="6"/>
      <c r="E53" s="6"/>
      <c r="F53" s="5"/>
      <c r="G53" s="5"/>
      <c r="H53" s="5"/>
      <c r="I53" s="5"/>
      <c r="J53" s="5"/>
      <c r="K53" s="5"/>
      <c r="L53" s="5"/>
      <c r="M53" s="5"/>
      <c r="N53" s="5"/>
      <c r="O53" s="5"/>
      <c r="P53" s="5"/>
      <c r="Q53" s="5"/>
      <c r="R53" s="5"/>
      <c r="S53" s="5"/>
      <c r="T53" s="5"/>
      <c r="U53" s="5"/>
      <c r="V53" s="5"/>
      <c r="W53" s="5"/>
    </row>
    <row r="54" spans="1:23" ht="16" x14ac:dyDescent="0.2">
      <c r="A54" s="5"/>
      <c r="B54" s="6"/>
      <c r="C54" s="6"/>
      <c r="D54" s="6"/>
      <c r="E54" s="6"/>
      <c r="F54" s="5"/>
      <c r="G54" s="5"/>
      <c r="H54" s="5"/>
      <c r="I54" s="5"/>
      <c r="J54" s="5"/>
      <c r="K54" s="5"/>
      <c r="L54" s="5"/>
      <c r="M54" s="5"/>
      <c r="N54" s="5"/>
      <c r="O54" s="5"/>
      <c r="P54" s="5"/>
      <c r="Q54" s="5"/>
      <c r="R54" s="5"/>
      <c r="S54" s="5"/>
      <c r="T54" s="5"/>
      <c r="U54" s="5"/>
      <c r="V54" s="5"/>
      <c r="W54" s="5"/>
    </row>
    <row r="55" spans="1:23" ht="16" x14ac:dyDescent="0.2">
      <c r="A55" s="5"/>
      <c r="B55" s="6"/>
      <c r="C55" s="6"/>
      <c r="D55" s="6"/>
      <c r="E55" s="6"/>
      <c r="F55" s="5"/>
      <c r="G55" s="5"/>
      <c r="H55" s="5"/>
      <c r="I55" s="5"/>
      <c r="J55" s="5"/>
      <c r="K55" s="5"/>
      <c r="L55" s="5"/>
      <c r="M55" s="5"/>
      <c r="N55" s="5"/>
      <c r="O55" s="5"/>
      <c r="P55" s="5"/>
      <c r="Q55" s="5"/>
      <c r="R55" s="5"/>
      <c r="S55" s="5"/>
      <c r="T55" s="5"/>
      <c r="U55" s="5"/>
      <c r="V55" s="5"/>
      <c r="W55" s="5"/>
    </row>
    <row r="56" spans="1:23" ht="16" x14ac:dyDescent="0.2">
      <c r="A56" s="5"/>
      <c r="B56" s="6"/>
      <c r="C56" s="6"/>
      <c r="D56" s="6"/>
      <c r="E56" s="6"/>
      <c r="F56" s="5"/>
      <c r="G56" s="5"/>
      <c r="H56" s="5"/>
      <c r="I56" s="5"/>
      <c r="J56" s="5"/>
      <c r="K56" s="5"/>
      <c r="L56" s="5"/>
      <c r="M56" s="5"/>
      <c r="N56" s="5"/>
      <c r="O56" s="5"/>
      <c r="P56" s="5"/>
      <c r="Q56" s="5"/>
      <c r="R56" s="5"/>
      <c r="S56" s="5"/>
      <c r="T56" s="5"/>
      <c r="U56" s="5"/>
      <c r="V56" s="5"/>
      <c r="W56" s="5"/>
    </row>
    <row r="57" spans="1:23" ht="16" x14ac:dyDescent="0.2">
      <c r="A57" s="5"/>
      <c r="B57" s="6"/>
      <c r="C57" s="6"/>
      <c r="D57" s="6"/>
      <c r="E57" s="6"/>
      <c r="F57" s="5"/>
      <c r="G57" s="5"/>
      <c r="H57" s="5"/>
      <c r="I57" s="5"/>
      <c r="J57" s="5"/>
      <c r="K57" s="5"/>
      <c r="L57" s="5"/>
      <c r="M57" s="5"/>
      <c r="N57" s="5"/>
      <c r="O57" s="5"/>
      <c r="P57" s="5"/>
      <c r="Q57" s="5"/>
      <c r="R57" s="5"/>
      <c r="S57" s="5"/>
      <c r="T57" s="5"/>
      <c r="U57" s="5"/>
      <c r="V57" s="5"/>
      <c r="W57" s="5"/>
    </row>
    <row r="58" spans="1:23" ht="16" x14ac:dyDescent="0.2">
      <c r="A58" s="5"/>
      <c r="B58" s="6"/>
      <c r="C58" s="6"/>
      <c r="D58" s="6"/>
      <c r="E58" s="6"/>
      <c r="F58" s="5"/>
      <c r="G58" s="5"/>
      <c r="H58" s="5"/>
      <c r="I58" s="5"/>
      <c r="J58" s="5"/>
      <c r="K58" s="5"/>
      <c r="L58" s="5"/>
      <c r="M58" s="5"/>
      <c r="N58" s="5"/>
      <c r="O58" s="5"/>
      <c r="P58" s="5"/>
      <c r="Q58" s="5"/>
      <c r="R58" s="5"/>
      <c r="S58" s="5"/>
      <c r="T58" s="5"/>
      <c r="U58" s="5"/>
      <c r="V58" s="5"/>
      <c r="W58" s="5"/>
    </row>
    <row r="59" spans="1:23" ht="16" x14ac:dyDescent="0.2">
      <c r="A59" s="5"/>
      <c r="B59" s="6"/>
      <c r="C59" s="6"/>
      <c r="D59" s="6"/>
      <c r="E59" s="6"/>
      <c r="F59" s="5"/>
      <c r="G59" s="5"/>
      <c r="H59" s="5"/>
      <c r="I59" s="5"/>
      <c r="J59" s="5"/>
      <c r="K59" s="5"/>
      <c r="L59" s="5"/>
      <c r="M59" s="5"/>
      <c r="N59" s="5"/>
      <c r="O59" s="5"/>
      <c r="P59" s="5"/>
      <c r="Q59" s="5"/>
      <c r="R59" s="5"/>
      <c r="S59" s="5"/>
      <c r="T59" s="5"/>
      <c r="U59" s="5"/>
      <c r="V59" s="5"/>
      <c r="W59" s="5"/>
    </row>
    <row r="60" spans="1:23" ht="16" x14ac:dyDescent="0.2">
      <c r="A60" s="5"/>
      <c r="B60" s="6"/>
      <c r="C60" s="6"/>
      <c r="D60" s="6"/>
      <c r="E60" s="6"/>
      <c r="F60" s="5"/>
      <c r="G60" s="5"/>
      <c r="H60" s="5"/>
      <c r="I60" s="5"/>
      <c r="J60" s="5"/>
      <c r="K60" s="5"/>
      <c r="L60" s="5"/>
      <c r="M60" s="5"/>
      <c r="N60" s="5"/>
      <c r="O60" s="5"/>
      <c r="P60" s="5"/>
      <c r="Q60" s="5"/>
      <c r="R60" s="5"/>
      <c r="S60" s="5"/>
      <c r="T60" s="5"/>
      <c r="U60" s="5"/>
      <c r="V60" s="5"/>
      <c r="W60" s="5"/>
    </row>
    <row r="61" spans="1:23" ht="16" x14ac:dyDescent="0.2">
      <c r="A61" s="5"/>
      <c r="B61" s="6"/>
      <c r="C61" s="6"/>
      <c r="D61" s="6"/>
      <c r="E61" s="6"/>
      <c r="F61" s="5"/>
      <c r="G61" s="5"/>
      <c r="H61" s="5"/>
      <c r="I61" s="5"/>
      <c r="J61" s="5"/>
      <c r="K61" s="5"/>
      <c r="L61" s="5"/>
      <c r="M61" s="5"/>
      <c r="N61" s="5"/>
      <c r="O61" s="5"/>
      <c r="P61" s="5"/>
      <c r="Q61" s="5"/>
      <c r="R61" s="5"/>
      <c r="S61" s="5"/>
      <c r="T61" s="5"/>
      <c r="U61" s="5"/>
      <c r="V61" s="5"/>
      <c r="W61" s="5"/>
    </row>
    <row r="62" spans="1:23" ht="16" x14ac:dyDescent="0.2">
      <c r="A62" s="5"/>
      <c r="B62" s="6"/>
      <c r="C62" s="6"/>
      <c r="D62" s="6"/>
      <c r="E62" s="6"/>
      <c r="F62" s="5"/>
      <c r="G62" s="5"/>
      <c r="H62" s="5"/>
      <c r="I62" s="5"/>
      <c r="J62" s="5"/>
      <c r="K62" s="5"/>
      <c r="L62" s="5"/>
      <c r="M62" s="5"/>
      <c r="N62" s="5"/>
      <c r="O62" s="5"/>
      <c r="P62" s="5"/>
      <c r="Q62" s="5"/>
      <c r="R62" s="5"/>
      <c r="S62" s="5"/>
      <c r="T62" s="5"/>
      <c r="U62" s="5"/>
      <c r="V62" s="5"/>
      <c r="W62" s="5"/>
    </row>
    <row r="63" spans="1:23" ht="16" x14ac:dyDescent="0.2">
      <c r="A63" s="5"/>
      <c r="B63" s="6"/>
      <c r="C63" s="6"/>
      <c r="D63" s="6"/>
      <c r="E63" s="6"/>
      <c r="F63" s="5"/>
      <c r="G63" s="5"/>
      <c r="H63" s="5"/>
      <c r="I63" s="5"/>
      <c r="J63" s="5"/>
      <c r="K63" s="5"/>
      <c r="L63" s="5"/>
      <c r="M63" s="5"/>
      <c r="N63" s="5"/>
      <c r="O63" s="5"/>
      <c r="P63" s="5"/>
      <c r="Q63" s="5"/>
      <c r="R63" s="5"/>
      <c r="S63" s="5"/>
      <c r="T63" s="5"/>
      <c r="U63" s="5"/>
      <c r="V63" s="5"/>
      <c r="W63" s="5"/>
    </row>
    <row r="64" spans="1:23" ht="16" x14ac:dyDescent="0.2">
      <c r="A64" s="5"/>
      <c r="B64" s="6"/>
      <c r="C64" s="6"/>
      <c r="D64" s="6"/>
      <c r="E64" s="6"/>
      <c r="F64" s="5"/>
      <c r="G64" s="5"/>
      <c r="H64" s="5"/>
      <c r="I64" s="5"/>
      <c r="J64" s="5"/>
      <c r="K64" s="5"/>
      <c r="L64" s="5"/>
      <c r="M64" s="5"/>
      <c r="N64" s="5"/>
      <c r="O64" s="5"/>
      <c r="P64" s="5"/>
      <c r="Q64" s="5"/>
      <c r="R64" s="5"/>
      <c r="S64" s="5"/>
      <c r="T64" s="5"/>
      <c r="U64" s="5"/>
      <c r="V64" s="5"/>
      <c r="W64" s="5"/>
    </row>
    <row r="65" spans="1:23" ht="16" x14ac:dyDescent="0.2">
      <c r="A65" s="5"/>
      <c r="B65" s="6"/>
      <c r="C65" s="6"/>
      <c r="D65" s="6"/>
      <c r="E65" s="6"/>
      <c r="F65" s="5"/>
      <c r="G65" s="5"/>
      <c r="H65" s="5"/>
      <c r="I65" s="5"/>
      <c r="J65" s="5"/>
      <c r="K65" s="5"/>
      <c r="L65" s="5"/>
      <c r="M65" s="5"/>
      <c r="N65" s="5"/>
      <c r="O65" s="5"/>
      <c r="P65" s="5"/>
      <c r="Q65" s="5"/>
      <c r="R65" s="5"/>
      <c r="S65" s="5"/>
      <c r="T65" s="5"/>
      <c r="U65" s="5"/>
      <c r="V65" s="5"/>
      <c r="W65" s="5"/>
    </row>
    <row r="66" spans="1:23" ht="16" x14ac:dyDescent="0.2">
      <c r="A66" s="5"/>
      <c r="B66" s="6"/>
      <c r="C66" s="6"/>
      <c r="D66" s="6"/>
      <c r="E66" s="6"/>
      <c r="F66" s="5"/>
      <c r="G66" s="5"/>
      <c r="H66" s="5"/>
      <c r="I66" s="5"/>
      <c r="J66" s="5"/>
      <c r="K66" s="5"/>
      <c r="L66" s="5"/>
      <c r="M66" s="5"/>
      <c r="N66" s="5"/>
      <c r="O66" s="5"/>
      <c r="P66" s="5"/>
      <c r="Q66" s="5"/>
      <c r="R66" s="5"/>
      <c r="S66" s="5"/>
      <c r="T66" s="5"/>
      <c r="U66" s="5"/>
      <c r="V66" s="5"/>
      <c r="W66" s="5"/>
    </row>
    <row r="67" spans="1:23" ht="16" x14ac:dyDescent="0.2">
      <c r="A67" s="5"/>
      <c r="B67" s="6"/>
      <c r="C67" s="6"/>
      <c r="D67" s="6"/>
      <c r="E67" s="6"/>
      <c r="F67" s="5"/>
      <c r="G67" s="5"/>
      <c r="H67" s="5"/>
      <c r="I67" s="5"/>
      <c r="J67" s="5"/>
      <c r="K67" s="5"/>
      <c r="L67" s="5"/>
      <c r="M67" s="5"/>
      <c r="N67" s="5"/>
      <c r="O67" s="5"/>
      <c r="P67" s="5"/>
      <c r="Q67" s="5"/>
      <c r="R67" s="5"/>
      <c r="S67" s="5"/>
      <c r="T67" s="5"/>
      <c r="U67" s="5"/>
      <c r="V67" s="5"/>
      <c r="W67" s="5"/>
    </row>
    <row r="68" spans="1:23" ht="16" x14ac:dyDescent="0.2">
      <c r="A68" s="5"/>
      <c r="B68" s="6"/>
      <c r="C68" s="6"/>
      <c r="D68" s="6"/>
      <c r="E68" s="6"/>
      <c r="F68" s="5"/>
      <c r="G68" s="5"/>
      <c r="H68" s="5"/>
      <c r="I68" s="5"/>
      <c r="J68" s="5"/>
      <c r="K68" s="5"/>
      <c r="L68" s="5"/>
      <c r="M68" s="5"/>
      <c r="N68" s="5"/>
      <c r="O68" s="5"/>
      <c r="P68" s="5"/>
      <c r="Q68" s="5"/>
      <c r="R68" s="5"/>
      <c r="S68" s="5"/>
      <c r="T68" s="5"/>
      <c r="U68" s="5"/>
      <c r="V68" s="5"/>
      <c r="W68" s="5"/>
    </row>
    <row r="69" spans="1:23" ht="16" x14ac:dyDescent="0.2">
      <c r="A69" s="5"/>
      <c r="B69" s="6"/>
      <c r="C69" s="6"/>
      <c r="D69" s="6"/>
      <c r="E69" s="6"/>
      <c r="F69" s="5"/>
      <c r="G69" s="5"/>
      <c r="H69" s="5"/>
      <c r="I69" s="5"/>
      <c r="J69" s="5"/>
      <c r="K69" s="5"/>
      <c r="L69" s="5"/>
      <c r="M69" s="5"/>
      <c r="N69" s="5"/>
      <c r="O69" s="5"/>
      <c r="P69" s="5"/>
      <c r="Q69" s="5"/>
      <c r="R69" s="5"/>
      <c r="S69" s="5"/>
      <c r="T69" s="5"/>
      <c r="U69" s="5"/>
      <c r="V69" s="5"/>
      <c r="W69" s="5"/>
    </row>
    <row r="70" spans="1:23" ht="16" x14ac:dyDescent="0.2">
      <c r="A70" s="5"/>
      <c r="B70" s="6"/>
      <c r="C70" s="6"/>
      <c r="D70" s="6"/>
      <c r="E70" s="6"/>
      <c r="F70" s="5"/>
      <c r="G70" s="5"/>
      <c r="H70" s="5"/>
      <c r="I70" s="5"/>
      <c r="J70" s="5"/>
      <c r="K70" s="5"/>
      <c r="L70" s="5"/>
      <c r="M70" s="5"/>
      <c r="N70" s="5"/>
      <c r="O70" s="5"/>
      <c r="P70" s="5"/>
      <c r="Q70" s="5"/>
      <c r="R70" s="5"/>
      <c r="S70" s="5"/>
      <c r="T70" s="5"/>
      <c r="U70" s="5"/>
      <c r="V70" s="5"/>
      <c r="W70" s="5"/>
    </row>
    <row r="71" spans="1:23" ht="16" x14ac:dyDescent="0.2">
      <c r="A71" s="5"/>
      <c r="B71" s="6"/>
      <c r="C71" s="6"/>
      <c r="D71" s="6"/>
      <c r="E71" s="6"/>
      <c r="F71" s="5"/>
      <c r="G71" s="5"/>
      <c r="H71" s="5"/>
      <c r="I71" s="5"/>
      <c r="J71" s="5"/>
      <c r="K71" s="5"/>
      <c r="L71" s="5"/>
      <c r="M71" s="5"/>
      <c r="N71" s="5"/>
      <c r="O71" s="5"/>
      <c r="P71" s="5"/>
      <c r="Q71" s="5"/>
      <c r="R71" s="5"/>
      <c r="S71" s="5"/>
      <c r="T71" s="5"/>
      <c r="U71" s="5"/>
      <c r="V71" s="5"/>
      <c r="W71" s="5"/>
    </row>
    <row r="72" spans="1:23" ht="16" x14ac:dyDescent="0.2">
      <c r="A72" s="5"/>
      <c r="B72" s="6"/>
      <c r="C72" s="6"/>
      <c r="D72" s="6"/>
      <c r="E72" s="6"/>
      <c r="F72" s="5"/>
      <c r="G72" s="5"/>
      <c r="H72" s="5"/>
      <c r="I72" s="5"/>
      <c r="J72" s="5"/>
      <c r="K72" s="5"/>
      <c r="L72" s="5"/>
      <c r="M72" s="5"/>
      <c r="N72" s="5"/>
      <c r="O72" s="5"/>
      <c r="P72" s="5"/>
      <c r="Q72" s="5"/>
      <c r="R72" s="5"/>
      <c r="S72" s="5"/>
      <c r="T72" s="5"/>
      <c r="U72" s="5"/>
      <c r="V72" s="5"/>
      <c r="W72" s="5"/>
    </row>
    <row r="73" spans="1:23" ht="16" x14ac:dyDescent="0.2">
      <c r="A73" s="5"/>
      <c r="B73" s="6"/>
      <c r="C73" s="6"/>
      <c r="D73" s="6"/>
      <c r="E73" s="6"/>
      <c r="F73" s="5"/>
      <c r="G73" s="5"/>
      <c r="H73" s="5"/>
      <c r="I73" s="5"/>
      <c r="J73" s="5"/>
      <c r="K73" s="5"/>
      <c r="L73" s="5"/>
      <c r="M73" s="5"/>
      <c r="N73" s="5"/>
      <c r="O73" s="5"/>
      <c r="P73" s="5"/>
      <c r="Q73" s="5"/>
      <c r="R73" s="5"/>
      <c r="S73" s="5"/>
      <c r="T73" s="5"/>
      <c r="U73" s="5"/>
      <c r="V73" s="5"/>
      <c r="W73" s="5"/>
    </row>
    <row r="74" spans="1:23" ht="16" x14ac:dyDescent="0.2">
      <c r="A74" s="5"/>
      <c r="B74" s="6"/>
      <c r="C74" s="6"/>
      <c r="D74" s="6"/>
      <c r="E74" s="6"/>
      <c r="F74" s="5"/>
      <c r="G74" s="5"/>
      <c r="H74" s="5"/>
      <c r="I74" s="5"/>
      <c r="J74" s="5"/>
      <c r="K74" s="5"/>
      <c r="L74" s="5"/>
      <c r="M74" s="5"/>
      <c r="N74" s="5"/>
      <c r="O74" s="5"/>
      <c r="P74" s="5"/>
      <c r="Q74" s="5"/>
      <c r="R74" s="5"/>
      <c r="S74" s="5"/>
      <c r="T74" s="5"/>
      <c r="U74" s="5"/>
      <c r="V74" s="5"/>
      <c r="W74" s="5"/>
    </row>
    <row r="75" spans="1:23" ht="16" x14ac:dyDescent="0.2">
      <c r="A75" s="5"/>
      <c r="B75" s="6"/>
      <c r="C75" s="6"/>
      <c r="D75" s="6"/>
      <c r="E75" s="6"/>
      <c r="F75" s="5"/>
      <c r="G75" s="5"/>
      <c r="H75" s="5"/>
      <c r="I75" s="5"/>
      <c r="J75" s="5"/>
      <c r="K75" s="5"/>
      <c r="L75" s="5"/>
      <c r="M75" s="5"/>
      <c r="N75" s="5"/>
      <c r="O75" s="5"/>
      <c r="P75" s="5"/>
      <c r="Q75" s="5"/>
      <c r="R75" s="5"/>
      <c r="S75" s="5"/>
      <c r="T75" s="5"/>
      <c r="U75" s="5"/>
      <c r="V75" s="5"/>
      <c r="W75" s="5"/>
    </row>
    <row r="76" spans="1:23" ht="16" x14ac:dyDescent="0.2">
      <c r="A76" s="5"/>
      <c r="B76" s="6"/>
      <c r="C76" s="6"/>
      <c r="D76" s="6"/>
      <c r="E76" s="6"/>
      <c r="F76" s="5"/>
      <c r="G76" s="5"/>
      <c r="H76" s="5"/>
      <c r="I76" s="5"/>
      <c r="J76" s="5"/>
      <c r="K76" s="5"/>
      <c r="L76" s="5"/>
      <c r="M76" s="5"/>
      <c r="N76" s="5"/>
      <c r="O76" s="5"/>
      <c r="P76" s="5"/>
      <c r="Q76" s="5"/>
      <c r="R76" s="5"/>
      <c r="S76" s="5"/>
      <c r="T76" s="5"/>
      <c r="U76" s="5"/>
      <c r="V76" s="5"/>
      <c r="W76" s="5"/>
    </row>
    <row r="77" spans="1:23" ht="16" x14ac:dyDescent="0.2">
      <c r="A77" s="5"/>
      <c r="B77" s="6"/>
      <c r="C77" s="6"/>
      <c r="D77" s="6"/>
      <c r="E77" s="6"/>
      <c r="F77" s="5"/>
      <c r="G77" s="5"/>
      <c r="H77" s="5"/>
      <c r="I77" s="5"/>
      <c r="J77" s="5"/>
      <c r="K77" s="5"/>
      <c r="L77" s="5"/>
      <c r="M77" s="5"/>
      <c r="N77" s="5"/>
      <c r="O77" s="5"/>
      <c r="P77" s="5"/>
      <c r="Q77" s="5"/>
      <c r="R77" s="5"/>
      <c r="S77" s="5"/>
      <c r="T77" s="5"/>
      <c r="U77" s="5"/>
      <c r="V77" s="5"/>
      <c r="W77" s="5"/>
    </row>
    <row r="78" spans="1:23" ht="16" x14ac:dyDescent="0.2">
      <c r="A78" s="5"/>
      <c r="B78" s="6"/>
      <c r="C78" s="6"/>
      <c r="D78" s="6"/>
      <c r="E78" s="6"/>
      <c r="F78" s="5"/>
      <c r="G78" s="5"/>
      <c r="H78" s="5"/>
      <c r="I78" s="5"/>
      <c r="J78" s="5"/>
      <c r="K78" s="5"/>
      <c r="L78" s="5"/>
      <c r="M78" s="5"/>
      <c r="N78" s="5"/>
      <c r="O78" s="5"/>
      <c r="P78" s="5"/>
      <c r="Q78" s="5"/>
      <c r="R78" s="5"/>
      <c r="S78" s="5"/>
      <c r="T78" s="5"/>
      <c r="U78" s="5"/>
      <c r="V78" s="5"/>
      <c r="W78" s="5"/>
    </row>
    <row r="79" spans="1:23" ht="16" x14ac:dyDescent="0.2">
      <c r="A79" s="5"/>
      <c r="B79" s="6"/>
      <c r="C79" s="6"/>
      <c r="D79" s="6"/>
      <c r="E79" s="6"/>
      <c r="F79" s="5"/>
      <c r="G79" s="5"/>
      <c r="H79" s="5"/>
      <c r="I79" s="5"/>
      <c r="J79" s="5"/>
      <c r="K79" s="5"/>
      <c r="L79" s="5"/>
      <c r="M79" s="5"/>
      <c r="N79" s="5"/>
      <c r="O79" s="5"/>
      <c r="P79" s="5"/>
      <c r="Q79" s="5"/>
      <c r="R79" s="5"/>
      <c r="S79" s="5"/>
      <c r="T79" s="5"/>
      <c r="U79" s="5"/>
      <c r="V79" s="5"/>
      <c r="W79" s="5"/>
    </row>
    <row r="80" spans="1:23" ht="16" x14ac:dyDescent="0.2">
      <c r="A80" s="5"/>
      <c r="B80" s="6"/>
      <c r="C80" s="6"/>
      <c r="D80" s="6"/>
      <c r="E80" s="6"/>
      <c r="F80" s="5"/>
      <c r="G80" s="5"/>
      <c r="H80" s="5"/>
      <c r="I80" s="5"/>
      <c r="J80" s="5"/>
      <c r="K80" s="5"/>
      <c r="L80" s="5"/>
      <c r="M80" s="5"/>
      <c r="N80" s="5"/>
      <c r="O80" s="5"/>
      <c r="P80" s="5"/>
      <c r="Q80" s="5"/>
      <c r="R80" s="5"/>
      <c r="S80" s="5"/>
      <c r="T80" s="5"/>
      <c r="U80" s="5"/>
      <c r="V80" s="5"/>
      <c r="W80" s="5"/>
    </row>
    <row r="81" spans="1:23" ht="16" x14ac:dyDescent="0.2">
      <c r="A81" s="5"/>
      <c r="B81" s="6"/>
      <c r="C81" s="6"/>
      <c r="D81" s="6"/>
      <c r="E81" s="6"/>
      <c r="F81" s="5"/>
      <c r="G81" s="5"/>
      <c r="H81" s="5"/>
      <c r="I81" s="5"/>
      <c r="J81" s="5"/>
      <c r="K81" s="5"/>
      <c r="L81" s="5"/>
      <c r="M81" s="5"/>
      <c r="N81" s="5"/>
      <c r="O81" s="5"/>
      <c r="P81" s="5"/>
      <c r="Q81" s="5"/>
      <c r="R81" s="5"/>
      <c r="S81" s="5"/>
      <c r="T81" s="5"/>
      <c r="U81" s="5"/>
      <c r="V81" s="5"/>
      <c r="W81" s="5"/>
    </row>
    <row r="82" spans="1:23" ht="16" x14ac:dyDescent="0.2">
      <c r="A82" s="5"/>
      <c r="B82" s="6"/>
      <c r="C82" s="6"/>
      <c r="D82" s="6"/>
      <c r="E82" s="6"/>
      <c r="F82" s="5"/>
      <c r="G82" s="5"/>
      <c r="H82" s="5"/>
      <c r="I82" s="5"/>
      <c r="J82" s="5"/>
      <c r="K82" s="5"/>
      <c r="L82" s="5"/>
      <c r="M82" s="5"/>
      <c r="N82" s="5"/>
      <c r="O82" s="5"/>
      <c r="P82" s="5"/>
      <c r="Q82" s="5"/>
      <c r="R82" s="5"/>
      <c r="S82" s="5"/>
      <c r="T82" s="5"/>
      <c r="U82" s="5"/>
      <c r="V82" s="5"/>
      <c r="W82" s="5"/>
    </row>
    <row r="83" spans="1:23" ht="16" x14ac:dyDescent="0.2">
      <c r="A83" s="5"/>
      <c r="B83" s="6"/>
      <c r="C83" s="6"/>
      <c r="D83" s="6"/>
      <c r="E83" s="6"/>
      <c r="F83" s="5"/>
      <c r="G83" s="5"/>
      <c r="H83" s="5"/>
      <c r="I83" s="5"/>
      <c r="J83" s="5"/>
      <c r="K83" s="5"/>
      <c r="L83" s="5"/>
      <c r="M83" s="5"/>
      <c r="N83" s="5"/>
      <c r="O83" s="5"/>
      <c r="P83" s="5"/>
      <c r="Q83" s="5"/>
      <c r="R83" s="5"/>
      <c r="S83" s="5"/>
      <c r="T83" s="5"/>
      <c r="U83" s="5"/>
      <c r="V83" s="5"/>
      <c r="W83" s="5"/>
    </row>
    <row r="84" spans="1:23" ht="16" x14ac:dyDescent="0.2">
      <c r="A84" s="5"/>
      <c r="B84" s="6"/>
      <c r="C84" s="6"/>
      <c r="D84" s="6"/>
      <c r="E84" s="6"/>
      <c r="F84" s="5"/>
      <c r="G84" s="5"/>
      <c r="H84" s="5"/>
      <c r="I84" s="5"/>
      <c r="J84" s="5"/>
      <c r="K84" s="5"/>
      <c r="L84" s="5"/>
      <c r="M84" s="5"/>
      <c r="N84" s="5"/>
      <c r="O84" s="5"/>
      <c r="P84" s="5"/>
      <c r="Q84" s="5"/>
      <c r="R84" s="5"/>
      <c r="S84" s="5"/>
      <c r="T84" s="5"/>
      <c r="U84" s="5"/>
      <c r="V84" s="5"/>
      <c r="W84" s="5"/>
    </row>
    <row r="85" spans="1:23" ht="16" x14ac:dyDescent="0.2">
      <c r="A85" s="5"/>
      <c r="B85" s="6"/>
      <c r="C85" s="6"/>
      <c r="D85" s="6"/>
      <c r="E85" s="6"/>
      <c r="F85" s="5"/>
      <c r="G85" s="5"/>
      <c r="H85" s="5"/>
      <c r="I85" s="5"/>
      <c r="J85" s="5"/>
      <c r="K85" s="5"/>
      <c r="L85" s="5"/>
      <c r="M85" s="5"/>
      <c r="N85" s="5"/>
      <c r="O85" s="5"/>
      <c r="P85" s="5"/>
      <c r="Q85" s="5"/>
      <c r="R85" s="5"/>
      <c r="S85" s="5"/>
      <c r="T85" s="5"/>
      <c r="U85" s="5"/>
      <c r="V85" s="5"/>
      <c r="W85" s="5"/>
    </row>
    <row r="86" spans="1:23" ht="16" x14ac:dyDescent="0.2">
      <c r="A86" s="5"/>
      <c r="B86" s="6"/>
      <c r="C86" s="6"/>
      <c r="D86" s="6"/>
      <c r="E86" s="6"/>
      <c r="F86" s="5"/>
      <c r="G86" s="5"/>
      <c r="H86" s="5"/>
      <c r="I86" s="5"/>
      <c r="J86" s="5"/>
      <c r="K86" s="5"/>
      <c r="L86" s="5"/>
      <c r="M86" s="5"/>
      <c r="N86" s="5"/>
      <c r="O86" s="5"/>
      <c r="P86" s="5"/>
      <c r="Q86" s="5"/>
      <c r="R86" s="5"/>
      <c r="S86" s="5"/>
      <c r="T86" s="5"/>
      <c r="U86" s="5"/>
      <c r="V86" s="5"/>
      <c r="W86" s="5"/>
    </row>
    <row r="87" spans="1:23" ht="16" x14ac:dyDescent="0.2">
      <c r="A87" s="5"/>
      <c r="B87" s="6"/>
      <c r="C87" s="6"/>
      <c r="D87" s="6"/>
      <c r="E87" s="6"/>
      <c r="F87" s="5"/>
      <c r="G87" s="5"/>
      <c r="H87" s="5"/>
      <c r="I87" s="5"/>
      <c r="J87" s="5"/>
      <c r="K87" s="5"/>
      <c r="L87" s="5"/>
      <c r="M87" s="5"/>
      <c r="N87" s="5"/>
      <c r="O87" s="5"/>
      <c r="P87" s="5"/>
      <c r="Q87" s="5"/>
      <c r="R87" s="5"/>
      <c r="S87" s="5"/>
      <c r="T87" s="5"/>
      <c r="U87" s="5"/>
      <c r="V87" s="5"/>
      <c r="W87" s="5"/>
    </row>
    <row r="88" spans="1:23" ht="16" x14ac:dyDescent="0.2">
      <c r="A88" s="5"/>
      <c r="B88" s="6"/>
      <c r="C88" s="6"/>
      <c r="D88" s="6"/>
      <c r="E88" s="6"/>
      <c r="F88" s="5"/>
      <c r="G88" s="5"/>
      <c r="H88" s="5"/>
      <c r="I88" s="5"/>
      <c r="J88" s="5"/>
      <c r="K88" s="5"/>
      <c r="L88" s="5"/>
      <c r="M88" s="5"/>
      <c r="N88" s="5"/>
      <c r="O88" s="5"/>
      <c r="P88" s="5"/>
      <c r="Q88" s="5"/>
      <c r="R88" s="5"/>
      <c r="S88" s="5"/>
      <c r="T88" s="5"/>
      <c r="U88" s="5"/>
      <c r="V88" s="5"/>
      <c r="W88" s="5"/>
    </row>
    <row r="89" spans="1:23" ht="16" x14ac:dyDescent="0.2">
      <c r="A89" s="5"/>
      <c r="B89" s="6"/>
      <c r="C89" s="6"/>
      <c r="D89" s="6"/>
      <c r="E89" s="6"/>
      <c r="F89" s="5"/>
      <c r="G89" s="5"/>
      <c r="H89" s="5"/>
      <c r="I89" s="5"/>
      <c r="J89" s="5"/>
      <c r="K89" s="5"/>
      <c r="L89" s="5"/>
      <c r="M89" s="5"/>
      <c r="N89" s="5"/>
      <c r="O89" s="5"/>
      <c r="P89" s="5"/>
      <c r="Q89" s="5"/>
      <c r="R89" s="5"/>
      <c r="S89" s="5"/>
      <c r="T89" s="5"/>
      <c r="U89" s="5"/>
      <c r="V89" s="5"/>
      <c r="W89" s="5"/>
    </row>
    <row r="90" spans="1:23" ht="16" x14ac:dyDescent="0.2">
      <c r="A90" s="5"/>
      <c r="B90" s="6"/>
      <c r="C90" s="6"/>
      <c r="D90" s="6"/>
      <c r="E90" s="6"/>
      <c r="F90" s="5"/>
      <c r="G90" s="5"/>
      <c r="H90" s="5"/>
      <c r="I90" s="5"/>
      <c r="J90" s="5"/>
      <c r="K90" s="5"/>
      <c r="L90" s="5"/>
      <c r="M90" s="5"/>
      <c r="N90" s="5"/>
      <c r="O90" s="5"/>
      <c r="P90" s="5"/>
      <c r="Q90" s="5"/>
      <c r="R90" s="5"/>
      <c r="S90" s="5"/>
      <c r="T90" s="5"/>
      <c r="U90" s="5"/>
      <c r="V90" s="5"/>
      <c r="W90" s="5"/>
    </row>
    <row r="91" spans="1:23" ht="16" x14ac:dyDescent="0.2">
      <c r="A91" s="5"/>
      <c r="B91" s="6"/>
      <c r="C91" s="6"/>
      <c r="D91" s="6"/>
      <c r="E91" s="6"/>
      <c r="F91" s="5"/>
      <c r="G91" s="5"/>
      <c r="H91" s="5"/>
      <c r="I91" s="5"/>
      <c r="J91" s="5"/>
      <c r="K91" s="5"/>
      <c r="L91" s="5"/>
      <c r="M91" s="5"/>
      <c r="N91" s="5"/>
      <c r="O91" s="5"/>
      <c r="P91" s="5"/>
      <c r="Q91" s="5"/>
      <c r="R91" s="5"/>
      <c r="S91" s="5"/>
      <c r="T91" s="5"/>
      <c r="U91" s="5"/>
      <c r="V91" s="5"/>
      <c r="W91" s="5"/>
    </row>
    <row r="92" spans="1:23" ht="16" x14ac:dyDescent="0.2">
      <c r="A92" s="5"/>
      <c r="B92" s="6"/>
      <c r="C92" s="6"/>
      <c r="D92" s="6"/>
      <c r="E92" s="6"/>
      <c r="F92" s="5"/>
      <c r="G92" s="5"/>
      <c r="H92" s="5"/>
      <c r="I92" s="5"/>
      <c r="J92" s="5"/>
      <c r="K92" s="5"/>
      <c r="L92" s="5"/>
      <c r="M92" s="5"/>
      <c r="N92" s="5"/>
      <c r="O92" s="5"/>
      <c r="P92" s="5"/>
      <c r="Q92" s="5"/>
      <c r="R92" s="5"/>
      <c r="S92" s="5"/>
      <c r="T92" s="5"/>
      <c r="U92" s="5"/>
      <c r="V92" s="5"/>
      <c r="W92" s="5"/>
    </row>
    <row r="93" spans="1:23" ht="16" x14ac:dyDescent="0.2">
      <c r="A93" s="5"/>
      <c r="B93" s="6"/>
      <c r="C93" s="6"/>
      <c r="D93" s="6"/>
      <c r="E93" s="6"/>
      <c r="F93" s="5"/>
      <c r="G93" s="5"/>
      <c r="H93" s="5"/>
      <c r="I93" s="5"/>
      <c r="J93" s="5"/>
      <c r="K93" s="5"/>
      <c r="L93" s="5"/>
      <c r="M93" s="5"/>
      <c r="N93" s="5"/>
      <c r="O93" s="5"/>
      <c r="P93" s="5"/>
      <c r="Q93" s="5"/>
      <c r="R93" s="5"/>
      <c r="S93" s="5"/>
      <c r="T93" s="5"/>
      <c r="U93" s="5"/>
      <c r="V93" s="5"/>
      <c r="W93" s="5"/>
    </row>
    <row r="94" spans="1:23" ht="16" x14ac:dyDescent="0.2">
      <c r="A94" s="5"/>
      <c r="B94" s="6"/>
      <c r="C94" s="6"/>
      <c r="D94" s="6"/>
      <c r="E94" s="6"/>
      <c r="F94" s="5"/>
      <c r="G94" s="5"/>
      <c r="H94" s="5"/>
      <c r="I94" s="5"/>
      <c r="J94" s="5"/>
      <c r="K94" s="5"/>
      <c r="L94" s="5"/>
      <c r="M94" s="5"/>
      <c r="N94" s="5"/>
      <c r="O94" s="5"/>
      <c r="P94" s="5"/>
      <c r="Q94" s="5"/>
      <c r="R94" s="5"/>
      <c r="S94" s="5"/>
      <c r="T94" s="5"/>
      <c r="U94" s="5"/>
      <c r="V94" s="5"/>
      <c r="W94" s="5"/>
    </row>
    <row r="95" spans="1:23" ht="16" x14ac:dyDescent="0.2">
      <c r="A95" s="5"/>
      <c r="B95" s="6"/>
      <c r="C95" s="6"/>
      <c r="D95" s="6"/>
      <c r="E95" s="6"/>
      <c r="F95" s="5"/>
      <c r="G95" s="5"/>
      <c r="H95" s="5"/>
      <c r="I95" s="5"/>
      <c r="J95" s="5"/>
      <c r="K95" s="5"/>
      <c r="L95" s="5"/>
      <c r="M95" s="5"/>
      <c r="N95" s="5"/>
      <c r="O95" s="5"/>
      <c r="P95" s="5"/>
      <c r="Q95" s="5"/>
      <c r="R95" s="5"/>
      <c r="S95" s="5"/>
      <c r="T95" s="5"/>
      <c r="U95" s="5"/>
      <c r="V95" s="5"/>
      <c r="W95" s="5"/>
    </row>
    <row r="96" spans="1:23" ht="16" x14ac:dyDescent="0.2">
      <c r="A96" s="5"/>
      <c r="B96" s="6"/>
      <c r="C96" s="6"/>
      <c r="D96" s="6"/>
      <c r="E96" s="6"/>
      <c r="F96" s="5"/>
      <c r="G96" s="5"/>
      <c r="H96" s="5"/>
      <c r="I96" s="5"/>
      <c r="J96" s="5"/>
      <c r="K96" s="5"/>
      <c r="L96" s="5"/>
      <c r="M96" s="5"/>
      <c r="N96" s="5"/>
      <c r="O96" s="5"/>
      <c r="P96" s="5"/>
      <c r="Q96" s="5"/>
      <c r="R96" s="5"/>
      <c r="S96" s="5"/>
      <c r="T96" s="5"/>
      <c r="U96" s="5"/>
      <c r="V96" s="5"/>
      <c r="W96" s="5"/>
    </row>
    <row r="97" spans="1:23" ht="16" x14ac:dyDescent="0.2">
      <c r="A97" s="5"/>
      <c r="B97" s="6"/>
      <c r="C97" s="6"/>
      <c r="D97" s="6"/>
      <c r="E97" s="6"/>
      <c r="F97" s="5"/>
      <c r="G97" s="5"/>
      <c r="H97" s="5"/>
      <c r="I97" s="5"/>
      <c r="J97" s="5"/>
      <c r="K97" s="5"/>
      <c r="L97" s="5"/>
      <c r="M97" s="5"/>
      <c r="N97" s="5"/>
      <c r="O97" s="5"/>
      <c r="P97" s="5"/>
      <c r="Q97" s="5"/>
      <c r="R97" s="5"/>
      <c r="S97" s="5"/>
      <c r="T97" s="5"/>
      <c r="U97" s="5"/>
      <c r="V97" s="5"/>
      <c r="W97" s="5"/>
    </row>
    <row r="98" spans="1:23" ht="16" x14ac:dyDescent="0.2">
      <c r="A98" s="5"/>
      <c r="B98" s="6"/>
      <c r="C98" s="6"/>
      <c r="D98" s="6"/>
      <c r="E98" s="6"/>
      <c r="F98" s="5"/>
      <c r="G98" s="5"/>
      <c r="H98" s="5"/>
      <c r="I98" s="5"/>
      <c r="J98" s="5"/>
      <c r="K98" s="5"/>
      <c r="L98" s="5"/>
      <c r="M98" s="5"/>
      <c r="N98" s="5"/>
      <c r="O98" s="5"/>
      <c r="P98" s="5"/>
      <c r="Q98" s="5"/>
      <c r="R98" s="5"/>
      <c r="S98" s="5"/>
      <c r="T98" s="5"/>
      <c r="U98" s="5"/>
      <c r="V98" s="5"/>
      <c r="W98" s="5"/>
    </row>
    <row r="99" spans="1:23" ht="16" x14ac:dyDescent="0.2">
      <c r="A99" s="5"/>
      <c r="B99" s="6"/>
      <c r="C99" s="6"/>
      <c r="D99" s="6"/>
      <c r="E99" s="6"/>
      <c r="F99" s="5"/>
      <c r="G99" s="5"/>
      <c r="H99" s="5"/>
      <c r="I99" s="5"/>
      <c r="J99" s="5"/>
      <c r="K99" s="5"/>
      <c r="L99" s="5"/>
      <c r="M99" s="5"/>
      <c r="N99" s="5"/>
      <c r="O99" s="5"/>
      <c r="P99" s="5"/>
      <c r="Q99" s="5"/>
      <c r="R99" s="5"/>
      <c r="S99" s="5"/>
      <c r="T99" s="5"/>
      <c r="U99" s="5"/>
      <c r="V99" s="5"/>
      <c r="W99" s="5"/>
    </row>
    <row r="100" spans="1:23" ht="16" x14ac:dyDescent="0.2">
      <c r="A100" s="5"/>
      <c r="B100" s="6"/>
      <c r="C100" s="6"/>
      <c r="D100" s="6"/>
      <c r="E100" s="6"/>
      <c r="F100" s="5"/>
      <c r="G100" s="5"/>
      <c r="H100" s="5"/>
      <c r="I100" s="5"/>
      <c r="J100" s="5"/>
      <c r="K100" s="5"/>
      <c r="L100" s="5"/>
      <c r="M100" s="5"/>
      <c r="N100" s="5"/>
      <c r="O100" s="5"/>
      <c r="P100" s="5"/>
      <c r="Q100" s="5"/>
      <c r="R100" s="5"/>
      <c r="S100" s="5"/>
      <c r="T100" s="5"/>
      <c r="U100" s="5"/>
      <c r="V100" s="5"/>
      <c r="W100" s="5"/>
    </row>
    <row r="101" spans="1:23" ht="16" x14ac:dyDescent="0.2">
      <c r="A101" s="5"/>
      <c r="B101" s="6"/>
      <c r="C101" s="6"/>
      <c r="D101" s="6"/>
      <c r="E101" s="6"/>
      <c r="F101" s="5"/>
      <c r="G101" s="5"/>
      <c r="H101" s="5"/>
      <c r="I101" s="5"/>
      <c r="J101" s="5"/>
      <c r="K101" s="5"/>
      <c r="L101" s="5"/>
      <c r="M101" s="5"/>
      <c r="N101" s="5"/>
      <c r="O101" s="5"/>
      <c r="P101" s="5"/>
      <c r="Q101" s="5"/>
      <c r="R101" s="5"/>
      <c r="S101" s="5"/>
      <c r="T101" s="5"/>
      <c r="U101" s="5"/>
      <c r="V101" s="5"/>
      <c r="W101" s="5"/>
    </row>
    <row r="102" spans="1:23" ht="16" x14ac:dyDescent="0.2">
      <c r="A102" s="5"/>
      <c r="B102" s="6"/>
      <c r="C102" s="6"/>
      <c r="D102" s="6"/>
      <c r="E102" s="6"/>
      <c r="F102" s="5"/>
      <c r="G102" s="5"/>
      <c r="H102" s="5"/>
      <c r="I102" s="5"/>
      <c r="J102" s="5"/>
      <c r="K102" s="5"/>
      <c r="L102" s="5"/>
      <c r="M102" s="5"/>
      <c r="N102" s="5"/>
      <c r="O102" s="5"/>
      <c r="P102" s="5"/>
      <c r="Q102" s="5"/>
      <c r="R102" s="5"/>
      <c r="S102" s="5"/>
      <c r="T102" s="5"/>
      <c r="U102" s="5"/>
      <c r="V102" s="5"/>
      <c r="W102" s="5"/>
    </row>
    <row r="103" spans="1:23" ht="16" x14ac:dyDescent="0.2">
      <c r="A103" s="5"/>
      <c r="B103" s="6"/>
      <c r="C103" s="6"/>
      <c r="D103" s="6"/>
      <c r="E103" s="6"/>
      <c r="F103" s="5"/>
      <c r="G103" s="5"/>
      <c r="H103" s="5"/>
      <c r="I103" s="5"/>
      <c r="J103" s="5"/>
      <c r="K103" s="5"/>
      <c r="L103" s="5"/>
      <c r="M103" s="5"/>
      <c r="N103" s="5"/>
      <c r="O103" s="5"/>
      <c r="P103" s="5"/>
      <c r="Q103" s="5"/>
      <c r="R103" s="5"/>
      <c r="S103" s="5"/>
      <c r="T103" s="5"/>
      <c r="U103" s="5"/>
      <c r="V103" s="5"/>
      <c r="W103" s="5"/>
    </row>
    <row r="104" spans="1:23" ht="16" x14ac:dyDescent="0.2">
      <c r="A104" s="5"/>
      <c r="B104" s="6"/>
      <c r="C104" s="6"/>
      <c r="D104" s="6"/>
      <c r="E104" s="6"/>
      <c r="F104" s="5"/>
      <c r="G104" s="5"/>
      <c r="H104" s="5"/>
      <c r="I104" s="5"/>
      <c r="J104" s="5"/>
      <c r="K104" s="5"/>
      <c r="L104" s="5"/>
      <c r="M104" s="5"/>
      <c r="N104" s="5"/>
      <c r="O104" s="5"/>
      <c r="P104" s="5"/>
      <c r="Q104" s="5"/>
      <c r="R104" s="5"/>
      <c r="S104" s="5"/>
      <c r="T104" s="5"/>
      <c r="U104" s="5"/>
      <c r="V104" s="5"/>
      <c r="W104" s="5"/>
    </row>
    <row r="105" spans="1:23" ht="16" x14ac:dyDescent="0.2">
      <c r="A105" s="5"/>
      <c r="B105" s="6"/>
      <c r="C105" s="6"/>
      <c r="D105" s="6"/>
      <c r="E105" s="6"/>
      <c r="F105" s="5"/>
      <c r="G105" s="5"/>
      <c r="H105" s="5"/>
      <c r="I105" s="5"/>
      <c r="J105" s="5"/>
      <c r="K105" s="5"/>
      <c r="L105" s="5"/>
      <c r="M105" s="5"/>
      <c r="N105" s="5"/>
      <c r="O105" s="5"/>
      <c r="P105" s="5"/>
      <c r="Q105" s="5"/>
      <c r="R105" s="5"/>
      <c r="S105" s="5"/>
      <c r="T105" s="5"/>
      <c r="U105" s="5"/>
      <c r="V105" s="5"/>
      <c r="W105" s="5"/>
    </row>
    <row r="106" spans="1:23" ht="16" x14ac:dyDescent="0.2">
      <c r="A106" s="5"/>
      <c r="B106" s="6"/>
      <c r="C106" s="6"/>
      <c r="D106" s="6"/>
      <c r="E106" s="6"/>
      <c r="F106" s="5"/>
      <c r="G106" s="5"/>
      <c r="H106" s="5"/>
      <c r="I106" s="5"/>
      <c r="J106" s="5"/>
      <c r="K106" s="5"/>
      <c r="L106" s="5"/>
      <c r="M106" s="5"/>
      <c r="N106" s="5"/>
      <c r="O106" s="5"/>
      <c r="P106" s="5"/>
      <c r="Q106" s="5"/>
      <c r="R106" s="5"/>
      <c r="S106" s="5"/>
      <c r="T106" s="5"/>
      <c r="U106" s="5"/>
      <c r="V106" s="5"/>
      <c r="W106" s="5"/>
    </row>
    <row r="107" spans="1:23" ht="16" x14ac:dyDescent="0.2">
      <c r="A107" s="5"/>
      <c r="B107" s="6"/>
      <c r="C107" s="6"/>
      <c r="D107" s="6"/>
      <c r="E107" s="6"/>
      <c r="F107" s="5"/>
      <c r="G107" s="5"/>
      <c r="H107" s="5"/>
      <c r="I107" s="5"/>
      <c r="J107" s="5"/>
      <c r="K107" s="5"/>
      <c r="L107" s="5"/>
      <c r="M107" s="5"/>
      <c r="N107" s="5"/>
      <c r="O107" s="5"/>
      <c r="P107" s="5"/>
      <c r="Q107" s="5"/>
      <c r="R107" s="5"/>
      <c r="S107" s="5"/>
      <c r="T107" s="5"/>
      <c r="U107" s="5"/>
      <c r="V107" s="5"/>
      <c r="W107" s="5"/>
    </row>
    <row r="108" spans="1:23" ht="16" x14ac:dyDescent="0.2">
      <c r="A108" s="5"/>
      <c r="B108" s="6"/>
      <c r="C108" s="6"/>
      <c r="D108" s="6"/>
      <c r="E108" s="6"/>
      <c r="F108" s="5"/>
      <c r="G108" s="5"/>
      <c r="H108" s="5"/>
      <c r="I108" s="5"/>
      <c r="J108" s="5"/>
      <c r="K108" s="5"/>
      <c r="L108" s="5"/>
      <c r="M108" s="5"/>
      <c r="N108" s="5"/>
      <c r="O108" s="5"/>
      <c r="P108" s="5"/>
      <c r="Q108" s="5"/>
      <c r="R108" s="5"/>
      <c r="S108" s="5"/>
      <c r="T108" s="5"/>
      <c r="U108" s="5"/>
      <c r="V108" s="5"/>
      <c r="W108" s="5"/>
    </row>
    <row r="109" spans="1:23" ht="16" x14ac:dyDescent="0.2">
      <c r="A109" s="5"/>
      <c r="B109" s="6"/>
      <c r="C109" s="6"/>
      <c r="D109" s="6"/>
      <c r="E109" s="6"/>
      <c r="F109" s="5"/>
      <c r="G109" s="5"/>
      <c r="H109" s="5"/>
      <c r="I109" s="5"/>
      <c r="J109" s="5"/>
      <c r="K109" s="5"/>
      <c r="L109" s="5"/>
      <c r="M109" s="5"/>
      <c r="N109" s="5"/>
      <c r="O109" s="5"/>
      <c r="P109" s="5"/>
      <c r="Q109" s="5"/>
      <c r="R109" s="5"/>
      <c r="S109" s="5"/>
      <c r="T109" s="5"/>
      <c r="U109" s="5"/>
      <c r="V109" s="5"/>
      <c r="W109" s="5"/>
    </row>
    <row r="110" spans="1:23" ht="16" x14ac:dyDescent="0.2">
      <c r="A110" s="5"/>
      <c r="B110" s="6"/>
      <c r="C110" s="6"/>
      <c r="D110" s="6"/>
      <c r="E110" s="6"/>
      <c r="F110" s="5"/>
      <c r="G110" s="5"/>
      <c r="H110" s="5"/>
      <c r="I110" s="5"/>
      <c r="J110" s="5"/>
      <c r="K110" s="5"/>
      <c r="L110" s="5"/>
      <c r="M110" s="5"/>
      <c r="N110" s="5"/>
      <c r="O110" s="5"/>
      <c r="P110" s="5"/>
      <c r="Q110" s="5"/>
      <c r="R110" s="5"/>
      <c r="S110" s="5"/>
      <c r="T110" s="5"/>
      <c r="U110" s="5"/>
      <c r="V110" s="5"/>
      <c r="W110" s="5"/>
    </row>
    <row r="111" spans="1:23" ht="16" x14ac:dyDescent="0.2">
      <c r="A111" s="5"/>
      <c r="B111" s="6"/>
      <c r="C111" s="6"/>
      <c r="D111" s="6"/>
      <c r="E111" s="6"/>
      <c r="F111" s="5"/>
      <c r="G111" s="5"/>
      <c r="H111" s="5"/>
      <c r="I111" s="5"/>
      <c r="J111" s="5"/>
      <c r="K111" s="5"/>
      <c r="L111" s="5"/>
      <c r="M111" s="5"/>
      <c r="N111" s="5"/>
      <c r="O111" s="5"/>
      <c r="P111" s="5"/>
      <c r="Q111" s="5"/>
      <c r="R111" s="5"/>
      <c r="S111" s="5"/>
      <c r="T111" s="5"/>
      <c r="U111" s="5"/>
      <c r="V111" s="5"/>
      <c r="W111" s="5"/>
    </row>
    <row r="112" spans="1:23" ht="16" x14ac:dyDescent="0.2">
      <c r="A112" s="5"/>
      <c r="B112" s="6"/>
      <c r="C112" s="6"/>
      <c r="D112" s="6"/>
      <c r="E112" s="6"/>
      <c r="F112" s="5"/>
      <c r="G112" s="5"/>
      <c r="H112" s="5"/>
      <c r="I112" s="5"/>
      <c r="J112" s="5"/>
      <c r="K112" s="5"/>
      <c r="L112" s="5"/>
      <c r="M112" s="5"/>
      <c r="N112" s="5"/>
      <c r="O112" s="5"/>
      <c r="P112" s="5"/>
      <c r="Q112" s="5"/>
      <c r="R112" s="5"/>
      <c r="S112" s="5"/>
      <c r="T112" s="5"/>
      <c r="U112" s="5"/>
      <c r="V112" s="5"/>
      <c r="W112" s="5"/>
    </row>
    <row r="113" spans="1:23" ht="16" x14ac:dyDescent="0.2">
      <c r="A113" s="5"/>
      <c r="B113" s="6"/>
      <c r="C113" s="6"/>
      <c r="D113" s="6"/>
      <c r="E113" s="6"/>
      <c r="F113" s="5"/>
      <c r="G113" s="5"/>
      <c r="H113" s="5"/>
      <c r="I113" s="5"/>
      <c r="J113" s="5"/>
      <c r="K113" s="5"/>
      <c r="L113" s="5"/>
      <c r="M113" s="5"/>
      <c r="N113" s="5"/>
      <c r="O113" s="5"/>
      <c r="P113" s="5"/>
      <c r="Q113" s="5"/>
      <c r="R113" s="5"/>
      <c r="S113" s="5"/>
      <c r="T113" s="5"/>
      <c r="U113" s="5"/>
      <c r="V113" s="5"/>
      <c r="W113" s="5"/>
    </row>
    <row r="114" spans="1:23" ht="16" x14ac:dyDescent="0.2">
      <c r="A114" s="5"/>
      <c r="B114" s="6"/>
      <c r="C114" s="6"/>
      <c r="D114" s="6"/>
      <c r="E114" s="6"/>
      <c r="F114" s="5"/>
      <c r="G114" s="5"/>
      <c r="H114" s="5"/>
      <c r="I114" s="5"/>
      <c r="J114" s="5"/>
      <c r="K114" s="5"/>
      <c r="L114" s="5"/>
      <c r="M114" s="5"/>
      <c r="N114" s="5"/>
      <c r="O114" s="5"/>
      <c r="P114" s="5"/>
      <c r="Q114" s="5"/>
      <c r="R114" s="5"/>
      <c r="S114" s="5"/>
      <c r="T114" s="5"/>
      <c r="U114" s="5"/>
      <c r="V114" s="5"/>
      <c r="W114" s="5"/>
    </row>
    <row r="115" spans="1:23" ht="16" x14ac:dyDescent="0.2">
      <c r="A115" s="5"/>
      <c r="B115" s="6"/>
      <c r="C115" s="6"/>
      <c r="D115" s="6"/>
      <c r="E115" s="6"/>
      <c r="F115" s="5"/>
      <c r="G115" s="5"/>
      <c r="H115" s="5"/>
      <c r="I115" s="5"/>
      <c r="J115" s="5"/>
      <c r="K115" s="5"/>
      <c r="L115" s="5"/>
      <c r="M115" s="5"/>
      <c r="N115" s="5"/>
      <c r="O115" s="5"/>
      <c r="P115" s="5"/>
      <c r="Q115" s="5"/>
      <c r="R115" s="5"/>
      <c r="S115" s="5"/>
      <c r="T115" s="5"/>
      <c r="U115" s="5"/>
      <c r="V115" s="5"/>
      <c r="W115" s="5"/>
    </row>
    <row r="116" spans="1:23" ht="16" x14ac:dyDescent="0.2">
      <c r="A116" s="5"/>
      <c r="B116" s="6"/>
      <c r="C116" s="6"/>
      <c r="D116" s="6"/>
      <c r="E116" s="6"/>
      <c r="F116" s="5"/>
      <c r="G116" s="5"/>
      <c r="H116" s="5"/>
      <c r="I116" s="5"/>
      <c r="J116" s="5"/>
      <c r="K116" s="5"/>
      <c r="L116" s="5"/>
      <c r="M116" s="5"/>
      <c r="N116" s="5"/>
      <c r="O116" s="5"/>
      <c r="P116" s="5"/>
      <c r="Q116" s="5"/>
      <c r="R116" s="5"/>
      <c r="S116" s="5"/>
      <c r="T116" s="5"/>
      <c r="U116" s="5"/>
      <c r="V116" s="5"/>
      <c r="W116" s="5"/>
    </row>
    <row r="117" spans="1:23" ht="16" x14ac:dyDescent="0.2">
      <c r="A117" s="5"/>
      <c r="B117" s="6"/>
      <c r="C117" s="6"/>
      <c r="D117" s="6"/>
      <c r="E117" s="6"/>
      <c r="F117" s="5"/>
      <c r="G117" s="5"/>
      <c r="H117" s="5"/>
      <c r="I117" s="5"/>
      <c r="J117" s="5"/>
      <c r="K117" s="5"/>
      <c r="L117" s="5"/>
      <c r="M117" s="5"/>
      <c r="N117" s="5"/>
      <c r="O117" s="5"/>
      <c r="P117" s="5"/>
      <c r="Q117" s="5"/>
      <c r="R117" s="5"/>
      <c r="S117" s="5"/>
      <c r="T117" s="5"/>
      <c r="U117" s="5"/>
      <c r="V117" s="5"/>
      <c r="W117" s="5"/>
    </row>
    <row r="118" spans="1:23" ht="16" x14ac:dyDescent="0.2">
      <c r="A118" s="5"/>
      <c r="B118" s="6"/>
      <c r="C118" s="6"/>
      <c r="D118" s="6"/>
      <c r="E118" s="6"/>
      <c r="F118" s="5"/>
      <c r="G118" s="5"/>
      <c r="H118" s="5"/>
      <c r="I118" s="5"/>
      <c r="J118" s="5"/>
      <c r="K118" s="5"/>
      <c r="L118" s="5"/>
      <c r="M118" s="5"/>
      <c r="N118" s="5"/>
      <c r="O118" s="5"/>
      <c r="P118" s="5"/>
      <c r="Q118" s="5"/>
      <c r="R118" s="5"/>
      <c r="S118" s="5"/>
      <c r="T118" s="5"/>
      <c r="U118" s="5"/>
      <c r="V118" s="5"/>
      <c r="W118" s="5"/>
    </row>
    <row r="119" spans="1:23" ht="16" x14ac:dyDescent="0.2">
      <c r="A119" s="5"/>
      <c r="B119" s="6"/>
      <c r="C119" s="6"/>
      <c r="D119" s="6"/>
      <c r="E119" s="6"/>
      <c r="F119" s="5"/>
      <c r="G119" s="5"/>
      <c r="H119" s="5"/>
      <c r="I119" s="5"/>
      <c r="J119" s="5"/>
      <c r="K119" s="5"/>
      <c r="L119" s="5"/>
      <c r="M119" s="5"/>
      <c r="N119" s="5"/>
      <c r="O119" s="5"/>
      <c r="P119" s="5"/>
      <c r="Q119" s="5"/>
      <c r="R119" s="5"/>
      <c r="S119" s="5"/>
      <c r="T119" s="5"/>
      <c r="U119" s="5"/>
      <c r="V119" s="5"/>
      <c r="W119" s="5"/>
    </row>
    <row r="120" spans="1:23" ht="16" x14ac:dyDescent="0.2">
      <c r="A120" s="5"/>
      <c r="B120" s="6"/>
      <c r="C120" s="6"/>
      <c r="D120" s="6"/>
      <c r="E120" s="6"/>
      <c r="F120" s="5"/>
      <c r="G120" s="5"/>
      <c r="H120" s="5"/>
      <c r="I120" s="5"/>
      <c r="J120" s="5"/>
      <c r="K120" s="5"/>
      <c r="L120" s="5"/>
      <c r="M120" s="5"/>
      <c r="N120" s="5"/>
      <c r="O120" s="5"/>
      <c r="P120" s="5"/>
      <c r="Q120" s="5"/>
      <c r="R120" s="5"/>
      <c r="S120" s="5"/>
      <c r="T120" s="5"/>
      <c r="U120" s="5"/>
      <c r="V120" s="5"/>
      <c r="W120" s="5"/>
    </row>
    <row r="121" spans="1:23" ht="16" x14ac:dyDescent="0.2">
      <c r="A121" s="5"/>
      <c r="B121" s="6"/>
      <c r="C121" s="6"/>
      <c r="D121" s="6"/>
      <c r="E121" s="6"/>
      <c r="F121" s="5"/>
      <c r="G121" s="5"/>
      <c r="H121" s="5"/>
      <c r="I121" s="5"/>
      <c r="J121" s="5"/>
      <c r="K121" s="5"/>
      <c r="L121" s="5"/>
      <c r="M121" s="5"/>
      <c r="N121" s="5"/>
      <c r="O121" s="5"/>
      <c r="P121" s="5"/>
      <c r="Q121" s="5"/>
      <c r="R121" s="5"/>
      <c r="S121" s="5"/>
      <c r="T121" s="5"/>
      <c r="U121" s="5"/>
      <c r="V121" s="5"/>
      <c r="W121" s="5"/>
    </row>
    <row r="122" spans="1:23" ht="16" x14ac:dyDescent="0.2">
      <c r="A122" s="5"/>
      <c r="B122" s="6"/>
      <c r="C122" s="6"/>
      <c r="D122" s="6"/>
      <c r="E122" s="6"/>
      <c r="F122" s="5"/>
      <c r="G122" s="5"/>
      <c r="H122" s="5"/>
      <c r="I122" s="5"/>
      <c r="J122" s="5"/>
      <c r="K122" s="5"/>
      <c r="L122" s="5"/>
      <c r="M122" s="5"/>
      <c r="N122" s="5"/>
      <c r="O122" s="5"/>
      <c r="P122" s="5"/>
      <c r="Q122" s="5"/>
      <c r="R122" s="5"/>
      <c r="S122" s="5"/>
      <c r="T122" s="5"/>
      <c r="U122" s="5"/>
      <c r="V122" s="5"/>
      <c r="W122" s="5"/>
    </row>
    <row r="123" spans="1:23" ht="16" x14ac:dyDescent="0.2">
      <c r="A123" s="5"/>
      <c r="B123" s="6"/>
      <c r="C123" s="6"/>
      <c r="D123" s="6"/>
      <c r="E123" s="6"/>
      <c r="F123" s="5"/>
      <c r="G123" s="5"/>
      <c r="H123" s="5"/>
      <c r="I123" s="5"/>
      <c r="J123" s="5"/>
      <c r="K123" s="5"/>
      <c r="L123" s="5"/>
      <c r="M123" s="5"/>
      <c r="N123" s="5"/>
      <c r="O123" s="5"/>
      <c r="P123" s="5"/>
      <c r="Q123" s="5"/>
      <c r="R123" s="5"/>
      <c r="S123" s="5"/>
      <c r="T123" s="5"/>
      <c r="U123" s="5"/>
      <c r="V123" s="5"/>
      <c r="W123" s="5"/>
    </row>
    <row r="124" spans="1:23" ht="16" x14ac:dyDescent="0.2">
      <c r="A124" s="5"/>
      <c r="B124" s="6"/>
      <c r="C124" s="6"/>
      <c r="D124" s="6"/>
      <c r="E124" s="6"/>
      <c r="F124" s="5"/>
      <c r="G124" s="5"/>
      <c r="H124" s="5"/>
      <c r="I124" s="5"/>
      <c r="J124" s="5"/>
      <c r="K124" s="5"/>
      <c r="L124" s="5"/>
      <c r="M124" s="5"/>
      <c r="N124" s="5"/>
      <c r="O124" s="5"/>
      <c r="P124" s="5"/>
      <c r="Q124" s="5"/>
      <c r="R124" s="5"/>
      <c r="S124" s="5"/>
      <c r="T124" s="5"/>
      <c r="U124" s="5"/>
      <c r="V124" s="5"/>
      <c r="W124" s="5"/>
    </row>
    <row r="125" spans="1:23" ht="16" x14ac:dyDescent="0.2">
      <c r="A125" s="5"/>
      <c r="B125" s="6"/>
      <c r="C125" s="6"/>
      <c r="D125" s="6"/>
      <c r="E125" s="6"/>
      <c r="F125" s="5"/>
      <c r="G125" s="5"/>
      <c r="H125" s="5"/>
      <c r="I125" s="5"/>
      <c r="J125" s="5"/>
      <c r="K125" s="5"/>
      <c r="L125" s="5"/>
      <c r="M125" s="5"/>
      <c r="N125" s="5"/>
      <c r="O125" s="5"/>
      <c r="P125" s="5"/>
      <c r="Q125" s="5"/>
      <c r="R125" s="5"/>
      <c r="S125" s="5"/>
      <c r="T125" s="5"/>
      <c r="U125" s="5"/>
      <c r="V125" s="5"/>
      <c r="W125" s="5"/>
    </row>
    <row r="126" spans="1:23" ht="16" x14ac:dyDescent="0.2">
      <c r="A126" s="5"/>
      <c r="B126" s="6"/>
      <c r="C126" s="6"/>
      <c r="D126" s="6"/>
      <c r="E126" s="6"/>
      <c r="F126" s="5"/>
      <c r="G126" s="5"/>
      <c r="H126" s="5"/>
      <c r="I126" s="5"/>
      <c r="J126" s="5"/>
      <c r="K126" s="5"/>
      <c r="L126" s="5"/>
      <c r="M126" s="5"/>
      <c r="N126" s="5"/>
      <c r="O126" s="5"/>
      <c r="P126" s="5"/>
      <c r="Q126" s="5"/>
      <c r="R126" s="5"/>
      <c r="S126" s="5"/>
      <c r="T126" s="5"/>
      <c r="U126" s="5"/>
      <c r="V126" s="5"/>
      <c r="W126" s="5"/>
    </row>
    <row r="127" spans="1:23" ht="16" x14ac:dyDescent="0.2">
      <c r="A127" s="5"/>
      <c r="B127" s="6"/>
      <c r="C127" s="6"/>
      <c r="D127" s="6"/>
      <c r="E127" s="6"/>
      <c r="F127" s="5"/>
      <c r="G127" s="5"/>
      <c r="H127" s="5"/>
      <c r="I127" s="5"/>
      <c r="J127" s="5"/>
      <c r="K127" s="5"/>
      <c r="L127" s="5"/>
      <c r="M127" s="5"/>
      <c r="N127" s="5"/>
      <c r="O127" s="5"/>
      <c r="P127" s="5"/>
      <c r="Q127" s="5"/>
      <c r="R127" s="5"/>
      <c r="S127" s="5"/>
      <c r="T127" s="5"/>
      <c r="U127" s="5"/>
      <c r="V127" s="5"/>
      <c r="W127" s="5"/>
    </row>
    <row r="128" spans="1:23" ht="16" x14ac:dyDescent="0.2">
      <c r="A128" s="5"/>
      <c r="B128" s="6"/>
      <c r="C128" s="6"/>
      <c r="D128" s="6"/>
      <c r="E128" s="6"/>
      <c r="F128" s="5"/>
      <c r="G128" s="5"/>
      <c r="H128" s="5"/>
      <c r="I128" s="5"/>
      <c r="J128" s="5"/>
      <c r="K128" s="5"/>
      <c r="L128" s="5"/>
      <c r="M128" s="5"/>
      <c r="N128" s="5"/>
      <c r="O128" s="5"/>
      <c r="P128" s="5"/>
      <c r="Q128" s="5"/>
      <c r="R128" s="5"/>
      <c r="S128" s="5"/>
      <c r="T128" s="5"/>
      <c r="U128" s="5"/>
      <c r="V128" s="5"/>
      <c r="W128" s="5"/>
    </row>
    <row r="129" spans="1:23" ht="16" x14ac:dyDescent="0.2">
      <c r="A129" s="5"/>
      <c r="B129" s="6"/>
      <c r="C129" s="6"/>
      <c r="D129" s="6"/>
      <c r="E129" s="6"/>
      <c r="F129" s="5"/>
      <c r="G129" s="5"/>
      <c r="H129" s="5"/>
      <c r="I129" s="5"/>
      <c r="J129" s="5"/>
      <c r="K129" s="5"/>
      <c r="L129" s="5"/>
      <c r="M129" s="5"/>
      <c r="N129" s="5"/>
      <c r="O129" s="5"/>
      <c r="P129" s="5"/>
      <c r="Q129" s="5"/>
      <c r="R129" s="5"/>
      <c r="S129" s="5"/>
      <c r="T129" s="5"/>
      <c r="U129" s="5"/>
      <c r="V129" s="5"/>
      <c r="W129" s="5"/>
    </row>
    <row r="130" spans="1:23" ht="16" x14ac:dyDescent="0.2">
      <c r="A130" s="5"/>
      <c r="B130" s="6"/>
      <c r="C130" s="6"/>
      <c r="D130" s="6"/>
      <c r="E130" s="6"/>
      <c r="F130" s="5"/>
      <c r="G130" s="5"/>
      <c r="H130" s="5"/>
      <c r="I130" s="5"/>
      <c r="J130" s="5"/>
      <c r="K130" s="5"/>
      <c r="L130" s="5"/>
      <c r="M130" s="5"/>
      <c r="N130" s="5"/>
      <c r="O130" s="5"/>
      <c r="P130" s="5"/>
      <c r="Q130" s="5"/>
      <c r="R130" s="5"/>
      <c r="S130" s="5"/>
      <c r="T130" s="5"/>
      <c r="U130" s="5"/>
      <c r="V130" s="5"/>
      <c r="W130" s="5"/>
    </row>
    <row r="131" spans="1:23" ht="16" x14ac:dyDescent="0.2">
      <c r="A131" s="5"/>
      <c r="B131" s="6"/>
      <c r="C131" s="6"/>
      <c r="D131" s="6"/>
      <c r="E131" s="6"/>
      <c r="F131" s="5"/>
      <c r="G131" s="5"/>
      <c r="H131" s="5"/>
      <c r="I131" s="5"/>
      <c r="J131" s="5"/>
      <c r="K131" s="5"/>
      <c r="L131" s="5"/>
      <c r="M131" s="5"/>
      <c r="N131" s="5"/>
      <c r="O131" s="5"/>
      <c r="P131" s="5"/>
      <c r="Q131" s="5"/>
      <c r="R131" s="5"/>
      <c r="S131" s="5"/>
      <c r="T131" s="5"/>
      <c r="U131" s="5"/>
      <c r="V131" s="5"/>
      <c r="W131" s="5"/>
    </row>
    <row r="132" spans="1:23" ht="16" x14ac:dyDescent="0.2">
      <c r="A132" s="5"/>
      <c r="B132" s="6"/>
      <c r="C132" s="6"/>
      <c r="D132" s="6"/>
      <c r="E132" s="6"/>
      <c r="F132" s="5"/>
      <c r="G132" s="5"/>
      <c r="H132" s="5"/>
      <c r="I132" s="5"/>
      <c r="J132" s="5"/>
      <c r="K132" s="5"/>
      <c r="L132" s="5"/>
      <c r="M132" s="5"/>
      <c r="N132" s="5"/>
      <c r="O132" s="5"/>
      <c r="P132" s="5"/>
      <c r="Q132" s="5"/>
      <c r="R132" s="5"/>
      <c r="S132" s="5"/>
      <c r="T132" s="5"/>
      <c r="U132" s="5"/>
      <c r="V132" s="5"/>
      <c r="W132" s="5"/>
    </row>
    <row r="133" spans="1:23" ht="16" x14ac:dyDescent="0.2">
      <c r="A133" s="5"/>
      <c r="B133" s="6"/>
      <c r="C133" s="6"/>
      <c r="D133" s="6"/>
      <c r="E133" s="6"/>
      <c r="F133" s="5"/>
      <c r="G133" s="5"/>
      <c r="H133" s="5"/>
      <c r="I133" s="5"/>
      <c r="J133" s="5"/>
      <c r="K133" s="5"/>
      <c r="L133" s="5"/>
      <c r="M133" s="5"/>
      <c r="N133" s="5"/>
      <c r="O133" s="5"/>
      <c r="P133" s="5"/>
      <c r="Q133" s="5"/>
      <c r="R133" s="5"/>
      <c r="S133" s="5"/>
      <c r="T133" s="5"/>
      <c r="U133" s="5"/>
      <c r="V133" s="5"/>
      <c r="W133" s="5"/>
    </row>
    <row r="134" spans="1:23" ht="16" x14ac:dyDescent="0.2">
      <c r="A134" s="5"/>
      <c r="B134" s="6"/>
      <c r="C134" s="6"/>
      <c r="D134" s="6"/>
      <c r="E134" s="6"/>
      <c r="F134" s="5"/>
      <c r="G134" s="5"/>
      <c r="H134" s="5"/>
      <c r="I134" s="5"/>
      <c r="J134" s="5"/>
      <c r="K134" s="5"/>
      <c r="L134" s="5"/>
      <c r="M134" s="5"/>
      <c r="N134" s="5"/>
      <c r="O134" s="5"/>
      <c r="P134" s="5"/>
      <c r="Q134" s="5"/>
      <c r="R134" s="5"/>
      <c r="S134" s="5"/>
      <c r="T134" s="5"/>
      <c r="U134" s="5"/>
      <c r="V134" s="5"/>
      <c r="W134" s="5"/>
    </row>
    <row r="135" spans="1:23" ht="16" x14ac:dyDescent="0.2">
      <c r="A135" s="5"/>
      <c r="B135" s="6"/>
      <c r="C135" s="6"/>
      <c r="D135" s="6"/>
      <c r="E135" s="6"/>
      <c r="F135" s="5"/>
      <c r="G135" s="5"/>
      <c r="H135" s="5"/>
      <c r="I135" s="5"/>
      <c r="J135" s="5"/>
      <c r="K135" s="5"/>
      <c r="L135" s="5"/>
      <c r="M135" s="5"/>
      <c r="N135" s="5"/>
      <c r="O135" s="5"/>
      <c r="P135" s="5"/>
      <c r="Q135" s="5"/>
      <c r="R135" s="5"/>
      <c r="S135" s="5"/>
      <c r="T135" s="5"/>
      <c r="U135" s="5"/>
      <c r="V135" s="5"/>
      <c r="W135" s="5"/>
    </row>
    <row r="136" spans="1:23" ht="16" x14ac:dyDescent="0.2">
      <c r="A136" s="5"/>
      <c r="B136" s="6"/>
      <c r="C136" s="6"/>
      <c r="D136" s="6"/>
      <c r="E136" s="6"/>
      <c r="F136" s="5"/>
      <c r="G136" s="5"/>
      <c r="H136" s="5"/>
      <c r="I136" s="5"/>
      <c r="J136" s="5"/>
      <c r="K136" s="5"/>
      <c r="L136" s="5"/>
      <c r="M136" s="5"/>
      <c r="N136" s="5"/>
      <c r="O136" s="5"/>
      <c r="P136" s="5"/>
      <c r="Q136" s="5"/>
      <c r="R136" s="5"/>
      <c r="S136" s="5"/>
      <c r="T136" s="5"/>
      <c r="U136" s="5"/>
      <c r="V136" s="5"/>
      <c r="W136" s="5"/>
    </row>
    <row r="137" spans="1:23" ht="16" x14ac:dyDescent="0.2">
      <c r="A137" s="5"/>
      <c r="B137" s="6"/>
      <c r="C137" s="6"/>
      <c r="D137" s="6"/>
      <c r="E137" s="6"/>
      <c r="F137" s="5"/>
      <c r="G137" s="5"/>
      <c r="H137" s="5"/>
      <c r="I137" s="5"/>
      <c r="J137" s="5"/>
      <c r="K137" s="5"/>
      <c r="L137" s="5"/>
      <c r="M137" s="5"/>
      <c r="N137" s="5"/>
      <c r="O137" s="5"/>
      <c r="P137" s="5"/>
      <c r="Q137" s="5"/>
      <c r="R137" s="5"/>
      <c r="S137" s="5"/>
      <c r="T137" s="5"/>
      <c r="U137" s="5"/>
      <c r="V137" s="5"/>
      <c r="W137" s="5"/>
    </row>
    <row r="138" spans="1:23" ht="16" x14ac:dyDescent="0.2">
      <c r="A138" s="5"/>
      <c r="B138" s="6"/>
      <c r="C138" s="6"/>
      <c r="D138" s="6"/>
      <c r="E138" s="6"/>
      <c r="F138" s="5"/>
      <c r="G138" s="5"/>
      <c r="H138" s="5"/>
      <c r="I138" s="5"/>
      <c r="J138" s="5"/>
      <c r="K138" s="5"/>
      <c r="L138" s="5"/>
      <c r="M138" s="5"/>
      <c r="N138" s="5"/>
      <c r="O138" s="5"/>
      <c r="P138" s="5"/>
      <c r="Q138" s="5"/>
      <c r="R138" s="5"/>
      <c r="S138" s="5"/>
      <c r="T138" s="5"/>
      <c r="U138" s="5"/>
      <c r="V138" s="5"/>
      <c r="W138" s="5"/>
    </row>
    <row r="139" spans="1:23" ht="16" x14ac:dyDescent="0.2">
      <c r="A139" s="5"/>
      <c r="B139" s="6"/>
      <c r="C139" s="6"/>
      <c r="D139" s="6"/>
      <c r="E139" s="6"/>
      <c r="F139" s="5"/>
      <c r="G139" s="5"/>
      <c r="H139" s="5"/>
      <c r="I139" s="5"/>
      <c r="J139" s="5"/>
      <c r="K139" s="5"/>
      <c r="L139" s="5"/>
      <c r="M139" s="5"/>
      <c r="N139" s="5"/>
      <c r="O139" s="5"/>
      <c r="P139" s="5"/>
      <c r="Q139" s="5"/>
      <c r="R139" s="5"/>
      <c r="S139" s="5"/>
      <c r="T139" s="5"/>
      <c r="U139" s="5"/>
      <c r="V139" s="5"/>
      <c r="W139" s="5"/>
    </row>
    <row r="140" spans="1:23" ht="16" x14ac:dyDescent="0.2">
      <c r="A140" s="5"/>
      <c r="B140" s="6"/>
      <c r="C140" s="6"/>
      <c r="D140" s="6"/>
      <c r="E140" s="6"/>
      <c r="F140" s="5"/>
      <c r="G140" s="5"/>
      <c r="H140" s="5"/>
      <c r="I140" s="5"/>
      <c r="J140" s="5"/>
      <c r="K140" s="5"/>
      <c r="L140" s="5"/>
      <c r="M140" s="5"/>
      <c r="N140" s="5"/>
      <c r="O140" s="5"/>
      <c r="P140" s="5"/>
      <c r="Q140" s="5"/>
      <c r="R140" s="5"/>
      <c r="S140" s="5"/>
      <c r="T140" s="5"/>
      <c r="U140" s="5"/>
      <c r="V140" s="5"/>
      <c r="W140" s="5"/>
    </row>
    <row r="141" spans="1:23" ht="16" x14ac:dyDescent="0.2">
      <c r="A141" s="5"/>
      <c r="B141" s="6"/>
      <c r="C141" s="6"/>
      <c r="D141" s="6"/>
      <c r="E141" s="6"/>
      <c r="F141" s="5"/>
      <c r="G141" s="5"/>
      <c r="H141" s="5"/>
      <c r="I141" s="5"/>
      <c r="J141" s="5"/>
      <c r="K141" s="5"/>
      <c r="L141" s="5"/>
      <c r="M141" s="5"/>
      <c r="N141" s="5"/>
      <c r="O141" s="5"/>
      <c r="P141" s="5"/>
      <c r="Q141" s="5"/>
      <c r="R141" s="5"/>
      <c r="S141" s="5"/>
      <c r="T141" s="5"/>
      <c r="U141" s="5"/>
      <c r="V141" s="5"/>
      <c r="W141" s="5"/>
    </row>
    <row r="142" spans="1:23" ht="16" x14ac:dyDescent="0.2">
      <c r="A142" s="5"/>
      <c r="B142" s="6"/>
      <c r="C142" s="6"/>
      <c r="D142" s="6"/>
      <c r="E142" s="6"/>
      <c r="F142" s="5"/>
      <c r="G142" s="5"/>
      <c r="H142" s="5"/>
      <c r="I142" s="5"/>
      <c r="J142" s="5"/>
      <c r="K142" s="5"/>
      <c r="L142" s="5"/>
      <c r="M142" s="5"/>
      <c r="N142" s="5"/>
      <c r="O142" s="5"/>
      <c r="P142" s="5"/>
      <c r="Q142" s="5"/>
      <c r="R142" s="5"/>
      <c r="S142" s="5"/>
      <c r="T142" s="5"/>
      <c r="U142" s="5"/>
      <c r="V142" s="5"/>
      <c r="W142" s="5"/>
    </row>
    <row r="143" spans="1:23" ht="16" x14ac:dyDescent="0.2">
      <c r="A143" s="5"/>
      <c r="B143" s="6"/>
      <c r="C143" s="6"/>
      <c r="D143" s="6"/>
      <c r="E143" s="6"/>
      <c r="F143" s="5"/>
      <c r="G143" s="5"/>
      <c r="H143" s="5"/>
      <c r="I143" s="5"/>
      <c r="J143" s="5"/>
      <c r="K143" s="5"/>
      <c r="L143" s="5"/>
      <c r="M143" s="5"/>
      <c r="N143" s="5"/>
      <c r="O143" s="5"/>
      <c r="P143" s="5"/>
      <c r="Q143" s="5"/>
      <c r="R143" s="5"/>
      <c r="S143" s="5"/>
      <c r="T143" s="5"/>
      <c r="U143" s="5"/>
      <c r="V143" s="5"/>
      <c r="W143" s="5"/>
    </row>
    <row r="144" spans="1:23" ht="16" x14ac:dyDescent="0.2">
      <c r="A144" s="5"/>
      <c r="B144" s="6"/>
      <c r="C144" s="6"/>
      <c r="D144" s="6"/>
      <c r="E144" s="6"/>
      <c r="F144" s="5"/>
      <c r="G144" s="5"/>
      <c r="H144" s="5"/>
      <c r="I144" s="5"/>
      <c r="J144" s="5"/>
      <c r="K144" s="5"/>
      <c r="L144" s="5"/>
      <c r="M144" s="5"/>
      <c r="N144" s="5"/>
      <c r="O144" s="5"/>
      <c r="P144" s="5"/>
      <c r="Q144" s="5"/>
      <c r="R144" s="5"/>
      <c r="S144" s="5"/>
      <c r="T144" s="5"/>
      <c r="U144" s="5"/>
      <c r="V144" s="5"/>
      <c r="W144" s="5"/>
    </row>
    <row r="145" spans="1:23" ht="16" x14ac:dyDescent="0.2">
      <c r="A145" s="5"/>
      <c r="B145" s="6"/>
      <c r="C145" s="6"/>
      <c r="D145" s="6"/>
      <c r="E145" s="6"/>
      <c r="F145" s="5"/>
      <c r="G145" s="5"/>
      <c r="H145" s="5"/>
      <c r="I145" s="5"/>
      <c r="J145" s="5"/>
      <c r="K145" s="5"/>
      <c r="L145" s="5"/>
      <c r="M145" s="5"/>
      <c r="N145" s="5"/>
      <c r="O145" s="5"/>
      <c r="P145" s="5"/>
      <c r="Q145" s="5"/>
      <c r="R145" s="5"/>
      <c r="S145" s="5"/>
      <c r="T145" s="5"/>
      <c r="U145" s="5"/>
      <c r="V145" s="5"/>
      <c r="W145" s="5"/>
    </row>
    <row r="146" spans="1:23" ht="16" x14ac:dyDescent="0.2">
      <c r="A146" s="5"/>
      <c r="B146" s="6"/>
      <c r="C146" s="6"/>
      <c r="D146" s="6"/>
      <c r="E146" s="6"/>
      <c r="F146" s="5"/>
      <c r="G146" s="5"/>
      <c r="H146" s="5"/>
      <c r="I146" s="5"/>
      <c r="J146" s="5"/>
      <c r="K146" s="5"/>
      <c r="L146" s="5"/>
      <c r="M146" s="5"/>
      <c r="N146" s="5"/>
      <c r="O146" s="5"/>
      <c r="P146" s="5"/>
      <c r="Q146" s="5"/>
      <c r="R146" s="5"/>
      <c r="S146" s="5"/>
      <c r="T146" s="5"/>
      <c r="U146" s="5"/>
      <c r="V146" s="5"/>
      <c r="W146" s="5"/>
    </row>
    <row r="147" spans="1:23" ht="16" x14ac:dyDescent="0.2">
      <c r="A147" s="5"/>
      <c r="B147" s="6"/>
      <c r="C147" s="6"/>
      <c r="D147" s="6"/>
      <c r="E147" s="6"/>
      <c r="F147" s="5"/>
      <c r="G147" s="5"/>
      <c r="H147" s="5"/>
      <c r="I147" s="5"/>
      <c r="J147" s="5"/>
      <c r="K147" s="5"/>
      <c r="L147" s="5"/>
      <c r="M147" s="5"/>
      <c r="N147" s="5"/>
      <c r="O147" s="5"/>
      <c r="P147" s="5"/>
      <c r="Q147" s="5"/>
      <c r="R147" s="5"/>
      <c r="S147" s="5"/>
      <c r="T147" s="5"/>
      <c r="U147" s="5"/>
      <c r="V147" s="5"/>
      <c r="W147" s="5"/>
    </row>
    <row r="148" spans="1:23" ht="16" x14ac:dyDescent="0.2">
      <c r="A148" s="5"/>
      <c r="B148" s="6"/>
      <c r="C148" s="6"/>
      <c r="D148" s="6"/>
      <c r="E148" s="6"/>
      <c r="F148" s="5"/>
      <c r="G148" s="5"/>
      <c r="H148" s="5"/>
      <c r="I148" s="5"/>
      <c r="J148" s="5"/>
      <c r="K148" s="5"/>
      <c r="L148" s="5"/>
      <c r="M148" s="5"/>
      <c r="N148" s="5"/>
      <c r="O148" s="5"/>
      <c r="P148" s="5"/>
      <c r="Q148" s="5"/>
      <c r="R148" s="5"/>
      <c r="S148" s="5"/>
      <c r="T148" s="5"/>
      <c r="U148" s="5"/>
      <c r="V148" s="5"/>
      <c r="W148" s="5"/>
    </row>
    <row r="149" spans="1:23" ht="16" x14ac:dyDescent="0.2">
      <c r="A149" s="5"/>
      <c r="B149" s="6"/>
      <c r="C149" s="6"/>
      <c r="D149" s="6"/>
      <c r="E149" s="6"/>
      <c r="F149" s="5"/>
      <c r="G149" s="5"/>
      <c r="H149" s="5"/>
      <c r="I149" s="5"/>
      <c r="J149" s="5"/>
      <c r="K149" s="5"/>
      <c r="L149" s="5"/>
      <c r="M149" s="5"/>
      <c r="N149" s="5"/>
      <c r="O149" s="5"/>
      <c r="P149" s="5"/>
      <c r="Q149" s="5"/>
      <c r="R149" s="5"/>
      <c r="S149" s="5"/>
      <c r="T149" s="5"/>
      <c r="U149" s="5"/>
      <c r="V149" s="5"/>
      <c r="W149" s="5"/>
    </row>
    <row r="150" spans="1:23" ht="16" x14ac:dyDescent="0.2">
      <c r="A150" s="5"/>
      <c r="B150" s="6"/>
      <c r="C150" s="6"/>
      <c r="D150" s="6"/>
      <c r="E150" s="6"/>
      <c r="F150" s="5"/>
      <c r="G150" s="5"/>
      <c r="H150" s="5"/>
      <c r="I150" s="5"/>
      <c r="J150" s="5"/>
      <c r="K150" s="5"/>
      <c r="L150" s="5"/>
      <c r="M150" s="5"/>
      <c r="N150" s="5"/>
      <c r="O150" s="5"/>
      <c r="P150" s="5"/>
      <c r="Q150" s="5"/>
      <c r="R150" s="5"/>
      <c r="S150" s="5"/>
      <c r="T150" s="5"/>
      <c r="U150" s="5"/>
      <c r="V150" s="5"/>
      <c r="W150" s="5"/>
    </row>
    <row r="151" spans="1:23" ht="16" x14ac:dyDescent="0.2">
      <c r="A151" s="5"/>
      <c r="B151" s="6"/>
      <c r="C151" s="6"/>
      <c r="D151" s="6"/>
      <c r="E151" s="6"/>
      <c r="F151" s="5"/>
      <c r="G151" s="5"/>
      <c r="H151" s="5"/>
      <c r="I151" s="5"/>
      <c r="J151" s="5"/>
      <c r="K151" s="5"/>
      <c r="L151" s="5"/>
      <c r="M151" s="5"/>
      <c r="N151" s="5"/>
      <c r="O151" s="5"/>
      <c r="P151" s="5"/>
      <c r="Q151" s="5"/>
      <c r="R151" s="5"/>
      <c r="S151" s="5"/>
      <c r="T151" s="5"/>
      <c r="U151" s="5"/>
      <c r="V151" s="5"/>
      <c r="W151" s="5"/>
    </row>
    <row r="152" spans="1:23" ht="16" x14ac:dyDescent="0.2">
      <c r="A152" s="5"/>
      <c r="B152" s="6"/>
      <c r="C152" s="6"/>
      <c r="D152" s="6"/>
      <c r="E152" s="6"/>
      <c r="F152" s="5"/>
      <c r="G152" s="5"/>
      <c r="H152" s="5"/>
      <c r="I152" s="5"/>
      <c r="J152" s="5"/>
      <c r="K152" s="5"/>
      <c r="L152" s="5"/>
      <c r="M152" s="5"/>
      <c r="N152" s="5"/>
      <c r="O152" s="5"/>
      <c r="P152" s="5"/>
      <c r="Q152" s="5"/>
      <c r="R152" s="5"/>
      <c r="S152" s="5"/>
      <c r="T152" s="5"/>
      <c r="U152" s="5"/>
      <c r="V152" s="5"/>
      <c r="W152" s="5"/>
    </row>
    <row r="153" spans="1:23" ht="16" x14ac:dyDescent="0.2">
      <c r="A153" s="5"/>
      <c r="B153" s="6"/>
      <c r="C153" s="6"/>
      <c r="D153" s="6"/>
      <c r="E153" s="6"/>
      <c r="F153" s="5"/>
      <c r="G153" s="5"/>
      <c r="H153" s="5"/>
      <c r="I153" s="5"/>
      <c r="J153" s="5"/>
      <c r="K153" s="5"/>
      <c r="L153" s="5"/>
      <c r="M153" s="5"/>
      <c r="N153" s="5"/>
      <c r="O153" s="5"/>
      <c r="P153" s="5"/>
      <c r="Q153" s="5"/>
      <c r="R153" s="5"/>
      <c r="S153" s="5"/>
      <c r="T153" s="5"/>
      <c r="U153" s="5"/>
      <c r="V153" s="5"/>
      <c r="W153" s="5"/>
    </row>
    <row r="154" spans="1:23" ht="16" x14ac:dyDescent="0.2">
      <c r="A154" s="5"/>
      <c r="B154" s="6"/>
      <c r="C154" s="6"/>
      <c r="D154" s="6"/>
      <c r="E154" s="6"/>
      <c r="F154" s="5"/>
      <c r="G154" s="5"/>
      <c r="H154" s="5"/>
      <c r="I154" s="5"/>
      <c r="J154" s="5"/>
      <c r="K154" s="5"/>
      <c r="L154" s="5"/>
      <c r="M154" s="5"/>
      <c r="N154" s="5"/>
      <c r="O154" s="5"/>
      <c r="P154" s="5"/>
      <c r="Q154" s="5"/>
      <c r="R154" s="5"/>
      <c r="S154" s="5"/>
      <c r="T154" s="5"/>
      <c r="U154" s="5"/>
      <c r="V154" s="5"/>
      <c r="W154" s="5"/>
    </row>
    <row r="155" spans="1:23" ht="16" x14ac:dyDescent="0.2">
      <c r="A155" s="5"/>
      <c r="B155" s="6"/>
      <c r="C155" s="6"/>
      <c r="D155" s="6"/>
      <c r="E155" s="6"/>
      <c r="F155" s="5"/>
      <c r="G155" s="5"/>
      <c r="H155" s="5"/>
      <c r="I155" s="5"/>
      <c r="J155" s="5"/>
      <c r="K155" s="5"/>
      <c r="L155" s="5"/>
      <c r="M155" s="5"/>
      <c r="N155" s="5"/>
      <c r="O155" s="5"/>
      <c r="P155" s="5"/>
      <c r="Q155" s="5"/>
      <c r="R155" s="5"/>
      <c r="S155" s="5"/>
      <c r="T155" s="5"/>
      <c r="U155" s="5"/>
      <c r="V155" s="5"/>
      <c r="W155" s="5"/>
    </row>
    <row r="156" spans="1:23" ht="16" x14ac:dyDescent="0.2">
      <c r="A156" s="5"/>
      <c r="B156" s="6"/>
      <c r="C156" s="6"/>
      <c r="D156" s="6"/>
      <c r="E156" s="6"/>
      <c r="F156" s="5"/>
      <c r="G156" s="5"/>
      <c r="H156" s="5"/>
      <c r="I156" s="5"/>
      <c r="J156" s="5"/>
      <c r="K156" s="5"/>
      <c r="L156" s="5"/>
      <c r="M156" s="5"/>
      <c r="N156" s="5"/>
      <c r="O156" s="5"/>
      <c r="P156" s="5"/>
      <c r="Q156" s="5"/>
      <c r="R156" s="5"/>
      <c r="S156" s="5"/>
      <c r="T156" s="5"/>
      <c r="U156" s="5"/>
      <c r="V156" s="5"/>
      <c r="W156" s="5"/>
    </row>
    <row r="157" spans="1:23" ht="16" x14ac:dyDescent="0.2">
      <c r="A157" s="5"/>
      <c r="B157" s="6"/>
      <c r="C157" s="6"/>
      <c r="D157" s="6"/>
      <c r="E157" s="6"/>
      <c r="F157" s="5"/>
      <c r="G157" s="5"/>
      <c r="H157" s="5"/>
      <c r="I157" s="5"/>
      <c r="J157" s="5"/>
      <c r="K157" s="5"/>
      <c r="L157" s="5"/>
      <c r="M157" s="5"/>
      <c r="N157" s="5"/>
      <c r="O157" s="5"/>
      <c r="P157" s="5"/>
      <c r="Q157" s="5"/>
      <c r="R157" s="5"/>
      <c r="S157" s="5"/>
      <c r="T157" s="5"/>
      <c r="U157" s="5"/>
      <c r="V157" s="5"/>
      <c r="W157" s="5"/>
    </row>
    <row r="158" spans="1:23" ht="16" x14ac:dyDescent="0.2">
      <c r="A158" s="5"/>
      <c r="B158" s="6"/>
      <c r="C158" s="6"/>
      <c r="D158" s="6"/>
      <c r="E158" s="6"/>
      <c r="F158" s="5"/>
      <c r="G158" s="5"/>
      <c r="H158" s="5"/>
      <c r="I158" s="5"/>
      <c r="J158" s="5"/>
      <c r="K158" s="5"/>
      <c r="L158" s="5"/>
      <c r="M158" s="5"/>
      <c r="N158" s="5"/>
      <c r="O158" s="5"/>
      <c r="P158" s="5"/>
      <c r="Q158" s="5"/>
      <c r="R158" s="5"/>
      <c r="S158" s="5"/>
      <c r="T158" s="5"/>
      <c r="U158" s="5"/>
      <c r="V158" s="5"/>
      <c r="W158" s="5"/>
    </row>
    <row r="159" spans="1:23" ht="16" x14ac:dyDescent="0.2">
      <c r="A159" s="5"/>
      <c r="B159" s="6"/>
      <c r="C159" s="6"/>
      <c r="D159" s="6"/>
      <c r="E159" s="6"/>
      <c r="F159" s="5"/>
      <c r="G159" s="5"/>
      <c r="H159" s="5"/>
      <c r="I159" s="5"/>
      <c r="J159" s="5"/>
      <c r="K159" s="5"/>
      <c r="L159" s="5"/>
      <c r="M159" s="5"/>
      <c r="N159" s="5"/>
      <c r="O159" s="5"/>
      <c r="P159" s="5"/>
      <c r="Q159" s="5"/>
      <c r="R159" s="5"/>
      <c r="S159" s="5"/>
      <c r="T159" s="5"/>
      <c r="U159" s="5"/>
      <c r="V159" s="5"/>
      <c r="W159" s="5"/>
    </row>
    <row r="160" spans="1:23" ht="16" x14ac:dyDescent="0.2">
      <c r="A160" s="5"/>
      <c r="B160" s="6"/>
      <c r="C160" s="6"/>
      <c r="D160" s="6"/>
      <c r="E160" s="6"/>
      <c r="F160" s="5"/>
      <c r="G160" s="5"/>
      <c r="H160" s="5"/>
      <c r="I160" s="5"/>
      <c r="J160" s="5"/>
      <c r="K160" s="5"/>
      <c r="L160" s="5"/>
      <c r="M160" s="5"/>
      <c r="N160" s="5"/>
      <c r="O160" s="5"/>
      <c r="P160" s="5"/>
      <c r="Q160" s="5"/>
      <c r="R160" s="5"/>
      <c r="S160" s="5"/>
      <c r="T160" s="5"/>
      <c r="U160" s="5"/>
      <c r="V160" s="5"/>
      <c r="W160" s="5"/>
    </row>
    <row r="161" spans="1:23" ht="16" x14ac:dyDescent="0.2">
      <c r="A161" s="5"/>
      <c r="B161" s="6"/>
      <c r="C161" s="6"/>
      <c r="D161" s="6"/>
      <c r="E161" s="6"/>
      <c r="F161" s="5"/>
      <c r="G161" s="5"/>
      <c r="H161" s="5"/>
      <c r="I161" s="5"/>
      <c r="J161" s="5"/>
      <c r="K161" s="5"/>
      <c r="L161" s="5"/>
      <c r="M161" s="5"/>
      <c r="N161" s="5"/>
      <c r="O161" s="5"/>
      <c r="P161" s="5"/>
      <c r="Q161" s="5"/>
      <c r="R161" s="5"/>
      <c r="S161" s="5"/>
      <c r="T161" s="5"/>
      <c r="U161" s="5"/>
      <c r="V161" s="5"/>
      <c r="W161" s="5"/>
    </row>
    <row r="162" spans="1:23" ht="16" x14ac:dyDescent="0.2">
      <c r="A162" s="5"/>
      <c r="B162" s="6"/>
      <c r="C162" s="6"/>
      <c r="D162" s="6"/>
      <c r="E162" s="6"/>
      <c r="F162" s="5"/>
      <c r="G162" s="5"/>
      <c r="H162" s="5"/>
      <c r="I162" s="5"/>
      <c r="J162" s="5"/>
      <c r="K162" s="5"/>
      <c r="L162" s="5"/>
      <c r="M162" s="5"/>
      <c r="N162" s="5"/>
      <c r="O162" s="5"/>
      <c r="P162" s="5"/>
      <c r="Q162" s="5"/>
      <c r="R162" s="5"/>
      <c r="S162" s="5"/>
      <c r="T162" s="5"/>
      <c r="U162" s="5"/>
      <c r="V162" s="5"/>
      <c r="W162" s="5"/>
    </row>
    <row r="163" spans="1:23" ht="16" x14ac:dyDescent="0.2">
      <c r="A163" s="5"/>
      <c r="B163" s="6"/>
      <c r="C163" s="6"/>
      <c r="D163" s="6"/>
      <c r="E163" s="6"/>
      <c r="F163" s="5"/>
      <c r="G163" s="5"/>
      <c r="H163" s="5"/>
      <c r="I163" s="5"/>
      <c r="J163" s="5"/>
      <c r="K163" s="5"/>
      <c r="L163" s="5"/>
      <c r="M163" s="5"/>
      <c r="N163" s="5"/>
      <c r="O163" s="5"/>
      <c r="P163" s="5"/>
      <c r="Q163" s="5"/>
      <c r="R163" s="5"/>
      <c r="S163" s="5"/>
      <c r="T163" s="5"/>
      <c r="U163" s="5"/>
      <c r="V163" s="5"/>
      <c r="W163" s="5"/>
    </row>
    <row r="164" spans="1:23" ht="16" x14ac:dyDescent="0.2">
      <c r="A164" s="5"/>
      <c r="B164" s="6"/>
      <c r="C164" s="6"/>
      <c r="D164" s="6"/>
      <c r="E164" s="6"/>
      <c r="F164" s="5"/>
      <c r="G164" s="5"/>
      <c r="H164" s="5"/>
      <c r="I164" s="5"/>
      <c r="J164" s="5"/>
      <c r="K164" s="5"/>
      <c r="L164" s="5"/>
      <c r="M164" s="5"/>
      <c r="N164" s="5"/>
      <c r="O164" s="5"/>
      <c r="P164" s="5"/>
      <c r="Q164" s="5"/>
      <c r="R164" s="5"/>
      <c r="S164" s="5"/>
      <c r="T164" s="5"/>
      <c r="U164" s="5"/>
      <c r="V164" s="5"/>
      <c r="W164" s="5"/>
    </row>
    <row r="165" spans="1:23" ht="16" x14ac:dyDescent="0.2">
      <c r="A165" s="5"/>
      <c r="B165" s="6"/>
      <c r="C165" s="6"/>
      <c r="D165" s="6"/>
      <c r="E165" s="6"/>
      <c r="F165" s="5"/>
      <c r="G165" s="5"/>
      <c r="H165" s="5"/>
      <c r="I165" s="5"/>
      <c r="J165" s="5"/>
      <c r="K165" s="5"/>
      <c r="L165" s="5"/>
      <c r="M165" s="5"/>
      <c r="N165" s="5"/>
      <c r="O165" s="5"/>
      <c r="P165" s="5"/>
      <c r="Q165" s="5"/>
      <c r="R165" s="5"/>
      <c r="S165" s="5"/>
      <c r="T165" s="5"/>
      <c r="U165" s="5"/>
      <c r="V165" s="5"/>
      <c r="W165" s="5"/>
    </row>
    <row r="166" spans="1:23" ht="16" x14ac:dyDescent="0.2">
      <c r="A166" s="5"/>
      <c r="B166" s="6"/>
      <c r="C166" s="6"/>
      <c r="D166" s="6"/>
      <c r="E166" s="6"/>
      <c r="F166" s="5"/>
      <c r="G166" s="5"/>
      <c r="H166" s="5"/>
      <c r="I166" s="5"/>
      <c r="J166" s="5"/>
      <c r="K166" s="5"/>
      <c r="L166" s="5"/>
      <c r="M166" s="5"/>
      <c r="N166" s="5"/>
      <c r="O166" s="5"/>
      <c r="P166" s="5"/>
      <c r="Q166" s="5"/>
      <c r="R166" s="5"/>
      <c r="S166" s="5"/>
      <c r="T166" s="5"/>
      <c r="U166" s="5"/>
      <c r="V166" s="5"/>
      <c r="W166" s="5"/>
    </row>
    <row r="167" spans="1:23" ht="16" x14ac:dyDescent="0.2">
      <c r="A167" s="5"/>
      <c r="B167" s="6"/>
      <c r="C167" s="6"/>
      <c r="D167" s="6"/>
      <c r="E167" s="6"/>
      <c r="F167" s="5"/>
      <c r="G167" s="5"/>
      <c r="H167" s="5"/>
      <c r="I167" s="5"/>
      <c r="J167" s="5"/>
      <c r="K167" s="5"/>
      <c r="L167" s="5"/>
      <c r="M167" s="5"/>
      <c r="N167" s="5"/>
      <c r="O167" s="5"/>
      <c r="P167" s="5"/>
      <c r="Q167" s="5"/>
      <c r="R167" s="5"/>
      <c r="S167" s="5"/>
      <c r="T167" s="5"/>
      <c r="U167" s="5"/>
      <c r="V167" s="5"/>
      <c r="W167" s="5"/>
    </row>
    <row r="168" spans="1:23" ht="16" x14ac:dyDescent="0.2">
      <c r="A168" s="5"/>
      <c r="B168" s="6"/>
      <c r="C168" s="6"/>
      <c r="D168" s="6"/>
      <c r="E168" s="6"/>
      <c r="F168" s="5"/>
      <c r="G168" s="5"/>
      <c r="H168" s="5"/>
      <c r="I168" s="5"/>
      <c r="J168" s="5"/>
      <c r="K168" s="5"/>
      <c r="L168" s="5"/>
      <c r="M168" s="5"/>
      <c r="N168" s="5"/>
      <c r="O168" s="5"/>
      <c r="P168" s="5"/>
      <c r="Q168" s="5"/>
      <c r="R168" s="5"/>
      <c r="S168" s="5"/>
      <c r="T168" s="5"/>
      <c r="U168" s="5"/>
      <c r="V168" s="5"/>
      <c r="W168" s="5"/>
    </row>
    <row r="169" spans="1:23" ht="16" x14ac:dyDescent="0.2">
      <c r="A169" s="5"/>
      <c r="B169" s="6"/>
      <c r="C169" s="6"/>
      <c r="D169" s="6"/>
      <c r="E169" s="6"/>
      <c r="F169" s="5"/>
      <c r="G169" s="5"/>
      <c r="H169" s="5"/>
      <c r="I169" s="5"/>
      <c r="J169" s="5"/>
      <c r="K169" s="5"/>
      <c r="L169" s="5"/>
      <c r="M169" s="5"/>
      <c r="N169" s="5"/>
      <c r="O169" s="5"/>
      <c r="P169" s="5"/>
      <c r="Q169" s="5"/>
      <c r="R169" s="5"/>
      <c r="S169" s="5"/>
      <c r="T169" s="5"/>
      <c r="U169" s="5"/>
      <c r="V169" s="5"/>
      <c r="W169" s="5"/>
    </row>
    <row r="170" spans="1:23" ht="16" x14ac:dyDescent="0.2">
      <c r="A170" s="5"/>
      <c r="B170" s="6"/>
      <c r="C170" s="6"/>
      <c r="D170" s="6"/>
      <c r="E170" s="6"/>
      <c r="F170" s="5"/>
      <c r="G170" s="5"/>
      <c r="H170" s="5"/>
      <c r="I170" s="5"/>
      <c r="J170" s="5"/>
      <c r="K170" s="5"/>
      <c r="L170" s="5"/>
      <c r="M170" s="5"/>
      <c r="N170" s="5"/>
      <c r="O170" s="5"/>
      <c r="P170" s="5"/>
      <c r="Q170" s="5"/>
      <c r="R170" s="5"/>
      <c r="S170" s="5"/>
      <c r="T170" s="5"/>
      <c r="U170" s="5"/>
      <c r="V170" s="5"/>
      <c r="W170" s="5"/>
    </row>
    <row r="171" spans="1:23" ht="16" x14ac:dyDescent="0.2">
      <c r="A171" s="5"/>
      <c r="B171" s="6"/>
      <c r="C171" s="6"/>
      <c r="D171" s="6"/>
      <c r="E171" s="6"/>
      <c r="F171" s="5"/>
      <c r="G171" s="5"/>
      <c r="H171" s="5"/>
      <c r="I171" s="5"/>
      <c r="J171" s="5"/>
      <c r="K171" s="5"/>
      <c r="L171" s="5"/>
      <c r="M171" s="5"/>
      <c r="N171" s="5"/>
      <c r="O171" s="5"/>
      <c r="P171" s="5"/>
      <c r="Q171" s="5"/>
      <c r="R171" s="5"/>
      <c r="S171" s="5"/>
      <c r="T171" s="5"/>
      <c r="U171" s="5"/>
      <c r="V171" s="5"/>
      <c r="W171" s="5"/>
    </row>
    <row r="172" spans="1:23" ht="16" x14ac:dyDescent="0.2">
      <c r="A172" s="5"/>
      <c r="B172" s="6"/>
      <c r="C172" s="6"/>
      <c r="D172" s="6"/>
      <c r="E172" s="6"/>
      <c r="F172" s="5"/>
      <c r="G172" s="5"/>
      <c r="H172" s="5"/>
      <c r="I172" s="5"/>
      <c r="J172" s="5"/>
      <c r="K172" s="5"/>
      <c r="L172" s="5"/>
      <c r="M172" s="5"/>
      <c r="N172" s="5"/>
      <c r="O172" s="5"/>
      <c r="P172" s="5"/>
      <c r="Q172" s="5"/>
      <c r="R172" s="5"/>
      <c r="S172" s="5"/>
      <c r="T172" s="5"/>
      <c r="U172" s="5"/>
      <c r="V172" s="5"/>
      <c r="W172" s="5"/>
    </row>
    <row r="173" spans="1:23" ht="16" x14ac:dyDescent="0.2">
      <c r="A173" s="5"/>
      <c r="B173" s="6"/>
      <c r="C173" s="6"/>
      <c r="D173" s="6"/>
      <c r="E173" s="6"/>
      <c r="F173" s="5"/>
      <c r="G173" s="5"/>
      <c r="H173" s="5"/>
      <c r="I173" s="5"/>
      <c r="J173" s="5"/>
      <c r="K173" s="5"/>
      <c r="L173" s="5"/>
      <c r="M173" s="5"/>
      <c r="N173" s="5"/>
      <c r="O173" s="5"/>
      <c r="P173" s="5"/>
      <c r="Q173" s="5"/>
      <c r="R173" s="5"/>
      <c r="S173" s="5"/>
      <c r="T173" s="5"/>
      <c r="U173" s="5"/>
      <c r="V173" s="5"/>
      <c r="W173" s="5"/>
    </row>
    <row r="174" spans="1:23" ht="16" x14ac:dyDescent="0.2">
      <c r="A174" s="5"/>
      <c r="B174" s="6"/>
      <c r="C174" s="6"/>
      <c r="D174" s="6"/>
      <c r="E174" s="6"/>
      <c r="F174" s="5"/>
      <c r="G174" s="5"/>
      <c r="H174" s="5"/>
      <c r="I174" s="5"/>
      <c r="J174" s="5"/>
      <c r="K174" s="5"/>
      <c r="L174" s="5"/>
      <c r="M174" s="5"/>
      <c r="N174" s="5"/>
      <c r="O174" s="5"/>
      <c r="P174" s="5"/>
      <c r="Q174" s="5"/>
      <c r="R174" s="5"/>
      <c r="S174" s="5"/>
      <c r="T174" s="5"/>
      <c r="U174" s="5"/>
      <c r="V174" s="5"/>
      <c r="W174" s="5"/>
    </row>
    <row r="175" spans="1:23" ht="16" x14ac:dyDescent="0.2">
      <c r="A175" s="5"/>
      <c r="B175" s="6"/>
      <c r="C175" s="6"/>
      <c r="D175" s="6"/>
      <c r="E175" s="6"/>
      <c r="F175" s="5"/>
      <c r="G175" s="5"/>
      <c r="H175" s="5"/>
      <c r="I175" s="5"/>
      <c r="J175" s="5"/>
      <c r="K175" s="5"/>
      <c r="L175" s="5"/>
      <c r="M175" s="5"/>
      <c r="N175" s="5"/>
      <c r="O175" s="5"/>
      <c r="P175" s="5"/>
      <c r="Q175" s="5"/>
      <c r="R175" s="5"/>
      <c r="S175" s="5"/>
      <c r="T175" s="5"/>
      <c r="U175" s="5"/>
      <c r="V175" s="5"/>
      <c r="W175" s="5"/>
    </row>
    <row r="176" spans="1:23" ht="16" x14ac:dyDescent="0.2">
      <c r="A176" s="5"/>
      <c r="B176" s="6"/>
      <c r="C176" s="6"/>
      <c r="D176" s="6"/>
      <c r="E176" s="6"/>
      <c r="F176" s="5"/>
      <c r="G176" s="5"/>
      <c r="H176" s="5"/>
      <c r="I176" s="5"/>
      <c r="J176" s="5"/>
      <c r="K176" s="5"/>
      <c r="L176" s="5"/>
      <c r="M176" s="5"/>
      <c r="N176" s="5"/>
      <c r="O176" s="5"/>
      <c r="P176" s="5"/>
      <c r="Q176" s="5"/>
      <c r="R176" s="5"/>
      <c r="S176" s="5"/>
      <c r="T176" s="5"/>
      <c r="U176" s="5"/>
      <c r="V176" s="5"/>
      <c r="W176" s="5"/>
    </row>
    <row r="177" spans="1:23" ht="16" x14ac:dyDescent="0.2">
      <c r="A177" s="5"/>
      <c r="B177" s="6"/>
      <c r="C177" s="6"/>
      <c r="D177" s="6"/>
      <c r="E177" s="6"/>
      <c r="F177" s="5"/>
      <c r="G177" s="5"/>
      <c r="H177" s="5"/>
      <c r="I177" s="5"/>
      <c r="J177" s="5"/>
      <c r="K177" s="5"/>
      <c r="L177" s="5"/>
      <c r="M177" s="5"/>
      <c r="N177" s="5"/>
      <c r="O177" s="5"/>
      <c r="P177" s="5"/>
      <c r="Q177" s="5"/>
      <c r="R177" s="5"/>
      <c r="S177" s="5"/>
      <c r="T177" s="5"/>
      <c r="U177" s="5"/>
      <c r="V177" s="5"/>
      <c r="W177" s="5"/>
    </row>
    <row r="178" spans="1:23" ht="16" x14ac:dyDescent="0.2">
      <c r="A178" s="5"/>
      <c r="B178" s="6"/>
      <c r="C178" s="6"/>
      <c r="D178" s="6"/>
      <c r="E178" s="6"/>
      <c r="F178" s="5"/>
      <c r="G178" s="5"/>
      <c r="H178" s="5"/>
      <c r="I178" s="5"/>
      <c r="J178" s="5"/>
      <c r="K178" s="5"/>
      <c r="L178" s="5"/>
      <c r="M178" s="5"/>
      <c r="N178" s="5"/>
      <c r="O178" s="5"/>
      <c r="P178" s="5"/>
      <c r="Q178" s="5"/>
      <c r="R178" s="5"/>
      <c r="S178" s="5"/>
      <c r="T178" s="5"/>
      <c r="U178" s="5"/>
      <c r="V178" s="5"/>
      <c r="W178" s="5"/>
    </row>
    <row r="179" spans="1:23" ht="16" x14ac:dyDescent="0.2">
      <c r="A179" s="5"/>
      <c r="B179" s="6"/>
      <c r="C179" s="6"/>
      <c r="D179" s="6"/>
      <c r="E179" s="6"/>
      <c r="F179" s="5"/>
      <c r="G179" s="5"/>
      <c r="H179" s="5"/>
      <c r="I179" s="5"/>
      <c r="J179" s="5"/>
      <c r="K179" s="5"/>
      <c r="L179" s="5"/>
      <c r="M179" s="5"/>
      <c r="N179" s="5"/>
      <c r="O179" s="5"/>
      <c r="P179" s="5"/>
      <c r="Q179" s="5"/>
      <c r="R179" s="5"/>
      <c r="S179" s="5"/>
      <c r="T179" s="5"/>
      <c r="U179" s="5"/>
      <c r="V179" s="5"/>
      <c r="W179" s="5"/>
    </row>
    <row r="180" spans="1:23" ht="16" x14ac:dyDescent="0.2">
      <c r="A180" s="5"/>
      <c r="B180" s="6"/>
      <c r="C180" s="6"/>
      <c r="D180" s="6"/>
      <c r="E180" s="6"/>
      <c r="F180" s="5"/>
      <c r="G180" s="5"/>
      <c r="H180" s="5"/>
      <c r="I180" s="5"/>
      <c r="J180" s="5"/>
      <c r="K180" s="5"/>
      <c r="L180" s="5"/>
      <c r="M180" s="5"/>
      <c r="N180" s="5"/>
      <c r="O180" s="5"/>
      <c r="P180" s="5"/>
      <c r="Q180" s="5"/>
      <c r="R180" s="5"/>
      <c r="S180" s="5"/>
      <c r="T180" s="5"/>
      <c r="U180" s="5"/>
      <c r="V180" s="5"/>
      <c r="W180" s="5"/>
    </row>
    <row r="181" spans="1:23" ht="16" x14ac:dyDescent="0.2">
      <c r="A181" s="5"/>
      <c r="B181" s="6"/>
      <c r="C181" s="6"/>
      <c r="D181" s="6"/>
      <c r="E181" s="6"/>
      <c r="F181" s="5"/>
      <c r="G181" s="5"/>
      <c r="H181" s="5"/>
      <c r="I181" s="5"/>
      <c r="J181" s="5"/>
      <c r="K181" s="5"/>
      <c r="L181" s="5"/>
      <c r="M181" s="5"/>
      <c r="N181" s="5"/>
      <c r="O181" s="5"/>
      <c r="P181" s="5"/>
      <c r="Q181" s="5"/>
      <c r="R181" s="5"/>
      <c r="S181" s="5"/>
      <c r="T181" s="5"/>
      <c r="U181" s="5"/>
      <c r="V181" s="5"/>
      <c r="W181" s="5"/>
    </row>
    <row r="182" spans="1:23" ht="16" x14ac:dyDescent="0.2">
      <c r="A182" s="5"/>
      <c r="B182" s="6"/>
      <c r="C182" s="6"/>
      <c r="D182" s="6"/>
      <c r="E182" s="6"/>
      <c r="F182" s="5"/>
      <c r="G182" s="5"/>
      <c r="H182" s="5"/>
      <c r="I182" s="5"/>
      <c r="J182" s="5"/>
      <c r="K182" s="5"/>
      <c r="L182" s="5"/>
      <c r="M182" s="5"/>
      <c r="N182" s="5"/>
      <c r="O182" s="5"/>
      <c r="P182" s="5"/>
      <c r="Q182" s="5"/>
      <c r="R182" s="5"/>
      <c r="S182" s="5"/>
      <c r="T182" s="5"/>
      <c r="U182" s="5"/>
      <c r="V182" s="5"/>
      <c r="W182" s="5"/>
    </row>
    <row r="183" spans="1:23" ht="16" x14ac:dyDescent="0.2">
      <c r="A183" s="5"/>
      <c r="B183" s="6"/>
      <c r="C183" s="6"/>
      <c r="D183" s="6"/>
      <c r="E183" s="6"/>
      <c r="F183" s="5"/>
      <c r="G183" s="5"/>
      <c r="H183" s="5"/>
      <c r="I183" s="5"/>
      <c r="J183" s="5"/>
      <c r="K183" s="5"/>
      <c r="L183" s="5"/>
      <c r="M183" s="5"/>
      <c r="N183" s="5"/>
      <c r="O183" s="5"/>
      <c r="P183" s="5"/>
      <c r="Q183" s="5"/>
      <c r="R183" s="5"/>
      <c r="S183" s="5"/>
      <c r="T183" s="5"/>
      <c r="U183" s="5"/>
      <c r="V183" s="5"/>
      <c r="W183" s="5"/>
    </row>
    <row r="184" spans="1:23" ht="16" x14ac:dyDescent="0.2">
      <c r="A184" s="5"/>
      <c r="B184" s="6"/>
      <c r="C184" s="6"/>
      <c r="D184" s="6"/>
      <c r="E184" s="6"/>
      <c r="F184" s="5"/>
      <c r="G184" s="5"/>
      <c r="H184" s="5"/>
      <c r="I184" s="5"/>
      <c r="J184" s="5"/>
      <c r="K184" s="5"/>
      <c r="L184" s="5"/>
      <c r="M184" s="5"/>
      <c r="N184" s="5"/>
      <c r="O184" s="5"/>
      <c r="P184" s="5"/>
      <c r="Q184" s="5"/>
      <c r="R184" s="5"/>
      <c r="S184" s="5"/>
      <c r="T184" s="5"/>
      <c r="U184" s="5"/>
      <c r="V184" s="5"/>
      <c r="W184" s="5"/>
    </row>
    <row r="185" spans="1:23" ht="16" x14ac:dyDescent="0.2">
      <c r="A185" s="5"/>
      <c r="B185" s="6"/>
      <c r="C185" s="6"/>
      <c r="D185" s="6"/>
      <c r="E185" s="6"/>
      <c r="F185" s="5"/>
      <c r="G185" s="5"/>
      <c r="H185" s="5"/>
      <c r="I185" s="5"/>
      <c r="J185" s="5"/>
      <c r="K185" s="5"/>
      <c r="L185" s="5"/>
      <c r="M185" s="5"/>
      <c r="N185" s="5"/>
      <c r="O185" s="5"/>
      <c r="P185" s="5"/>
      <c r="Q185" s="5"/>
      <c r="R185" s="5"/>
      <c r="S185" s="5"/>
      <c r="T185" s="5"/>
      <c r="U185" s="5"/>
      <c r="V185" s="5"/>
      <c r="W185" s="5"/>
    </row>
    <row r="186" spans="1:23" ht="16" x14ac:dyDescent="0.2">
      <c r="A186" s="5"/>
      <c r="B186" s="6"/>
      <c r="C186" s="6"/>
      <c r="D186" s="6"/>
      <c r="E186" s="6"/>
      <c r="F186" s="5"/>
      <c r="G186" s="5"/>
      <c r="H186" s="5"/>
      <c r="I186" s="5"/>
      <c r="J186" s="5"/>
      <c r="K186" s="5"/>
      <c r="L186" s="5"/>
      <c r="M186" s="5"/>
      <c r="N186" s="5"/>
      <c r="O186" s="5"/>
      <c r="P186" s="5"/>
      <c r="Q186" s="5"/>
      <c r="R186" s="5"/>
      <c r="S186" s="5"/>
      <c r="T186" s="5"/>
      <c r="U186" s="5"/>
      <c r="V186" s="5"/>
      <c r="W186" s="5"/>
    </row>
    <row r="187" spans="1:23" ht="16" x14ac:dyDescent="0.2">
      <c r="A187" s="5"/>
      <c r="B187" s="6"/>
      <c r="C187" s="6"/>
      <c r="D187" s="6"/>
      <c r="E187" s="6"/>
      <c r="F187" s="5"/>
      <c r="G187" s="5"/>
      <c r="H187" s="5"/>
      <c r="I187" s="5"/>
      <c r="J187" s="5"/>
      <c r="K187" s="5"/>
      <c r="L187" s="5"/>
      <c r="M187" s="5"/>
      <c r="N187" s="5"/>
      <c r="O187" s="5"/>
      <c r="P187" s="5"/>
      <c r="Q187" s="5"/>
      <c r="R187" s="5"/>
      <c r="S187" s="5"/>
      <c r="T187" s="5"/>
      <c r="U187" s="5"/>
      <c r="V187" s="5"/>
      <c r="W187" s="5"/>
    </row>
    <row r="188" spans="1:23" ht="16" x14ac:dyDescent="0.2">
      <c r="A188" s="5"/>
      <c r="B188" s="6"/>
      <c r="C188" s="6"/>
      <c r="D188" s="6"/>
      <c r="E188" s="6"/>
      <c r="F188" s="5"/>
      <c r="G188" s="5"/>
      <c r="H188" s="5"/>
      <c r="I188" s="5"/>
      <c r="J188" s="5"/>
      <c r="K188" s="5"/>
      <c r="L188" s="5"/>
      <c r="M188" s="5"/>
      <c r="N188" s="5"/>
      <c r="O188" s="5"/>
      <c r="P188" s="5"/>
      <c r="Q188" s="5"/>
      <c r="R188" s="5"/>
      <c r="S188" s="5"/>
      <c r="T188" s="5"/>
      <c r="U188" s="5"/>
      <c r="V188" s="5"/>
      <c r="W188" s="5"/>
    </row>
    <row r="189" spans="1:23" ht="16" x14ac:dyDescent="0.2">
      <c r="A189" s="5"/>
      <c r="B189" s="6"/>
      <c r="C189" s="6"/>
      <c r="D189" s="6"/>
      <c r="E189" s="6"/>
      <c r="F189" s="5"/>
      <c r="G189" s="5"/>
      <c r="H189" s="5"/>
      <c r="I189" s="5"/>
      <c r="J189" s="5"/>
      <c r="K189" s="5"/>
      <c r="L189" s="5"/>
      <c r="M189" s="5"/>
      <c r="N189" s="5"/>
      <c r="O189" s="5"/>
      <c r="P189" s="5"/>
      <c r="Q189" s="5"/>
      <c r="R189" s="5"/>
      <c r="S189" s="5"/>
      <c r="T189" s="5"/>
      <c r="U189" s="5"/>
      <c r="V189" s="5"/>
      <c r="W189" s="5"/>
    </row>
    <row r="190" spans="1:23" ht="16" x14ac:dyDescent="0.2">
      <c r="A190" s="5"/>
      <c r="B190" s="6"/>
      <c r="C190" s="6"/>
      <c r="D190" s="6"/>
      <c r="E190" s="6"/>
      <c r="F190" s="5"/>
      <c r="G190" s="5"/>
      <c r="H190" s="5"/>
      <c r="I190" s="5"/>
      <c r="J190" s="5"/>
      <c r="K190" s="5"/>
      <c r="L190" s="5"/>
      <c r="M190" s="5"/>
      <c r="N190" s="5"/>
      <c r="O190" s="5"/>
      <c r="P190" s="5"/>
      <c r="Q190" s="5"/>
      <c r="R190" s="5"/>
      <c r="S190" s="5"/>
      <c r="T190" s="5"/>
      <c r="U190" s="5"/>
      <c r="V190" s="5"/>
      <c r="W190" s="5"/>
    </row>
    <row r="191" spans="1:23" ht="16" x14ac:dyDescent="0.2">
      <c r="A191" s="5"/>
      <c r="B191" s="6"/>
      <c r="C191" s="6"/>
      <c r="D191" s="6"/>
      <c r="E191" s="6"/>
      <c r="F191" s="5"/>
      <c r="G191" s="5"/>
      <c r="H191" s="5"/>
      <c r="I191" s="5"/>
      <c r="J191" s="5"/>
      <c r="K191" s="5"/>
      <c r="L191" s="5"/>
      <c r="M191" s="5"/>
      <c r="N191" s="5"/>
      <c r="O191" s="5"/>
      <c r="P191" s="5"/>
      <c r="Q191" s="5"/>
      <c r="R191" s="5"/>
      <c r="S191" s="5"/>
      <c r="T191" s="5"/>
      <c r="U191" s="5"/>
      <c r="V191" s="5"/>
      <c r="W191" s="5"/>
    </row>
    <row r="192" spans="1:23" ht="16" x14ac:dyDescent="0.2">
      <c r="A192" s="5"/>
      <c r="B192" s="6"/>
      <c r="C192" s="6"/>
      <c r="D192" s="6"/>
      <c r="E192" s="6"/>
      <c r="F192" s="5"/>
      <c r="G192" s="5"/>
      <c r="H192" s="5"/>
      <c r="I192" s="5"/>
      <c r="J192" s="5"/>
      <c r="K192" s="5"/>
      <c r="L192" s="5"/>
      <c r="M192" s="5"/>
      <c r="N192" s="5"/>
      <c r="O192" s="5"/>
      <c r="P192" s="5"/>
      <c r="Q192" s="5"/>
      <c r="R192" s="5"/>
      <c r="S192" s="5"/>
      <c r="T192" s="5"/>
      <c r="U192" s="5"/>
      <c r="V192" s="5"/>
      <c r="W192" s="5"/>
    </row>
    <row r="193" spans="1:23" ht="16" x14ac:dyDescent="0.2">
      <c r="A193" s="5"/>
      <c r="B193" s="6"/>
      <c r="C193" s="6"/>
      <c r="D193" s="6"/>
      <c r="E193" s="6"/>
      <c r="F193" s="5"/>
      <c r="G193" s="5"/>
      <c r="H193" s="5"/>
      <c r="I193" s="5"/>
      <c r="J193" s="5"/>
      <c r="K193" s="5"/>
      <c r="L193" s="5"/>
      <c r="M193" s="5"/>
      <c r="N193" s="5"/>
      <c r="O193" s="5"/>
      <c r="P193" s="5"/>
      <c r="Q193" s="5"/>
      <c r="R193" s="5"/>
      <c r="S193" s="5"/>
      <c r="T193" s="5"/>
      <c r="U193" s="5"/>
      <c r="V193" s="5"/>
      <c r="W193" s="5"/>
    </row>
    <row r="194" spans="1:23" ht="16" x14ac:dyDescent="0.2">
      <c r="A194" s="5"/>
      <c r="B194" s="6"/>
      <c r="C194" s="6"/>
      <c r="D194" s="6"/>
      <c r="E194" s="6"/>
      <c r="F194" s="5"/>
      <c r="G194" s="5"/>
      <c r="H194" s="5"/>
      <c r="I194" s="5"/>
      <c r="J194" s="5"/>
      <c r="K194" s="5"/>
      <c r="L194" s="5"/>
      <c r="M194" s="5"/>
      <c r="N194" s="5"/>
      <c r="O194" s="5"/>
      <c r="P194" s="5"/>
      <c r="Q194" s="5"/>
      <c r="R194" s="5"/>
      <c r="S194" s="5"/>
      <c r="T194" s="5"/>
      <c r="U194" s="5"/>
      <c r="V194" s="5"/>
      <c r="W194" s="5"/>
    </row>
    <row r="195" spans="1:23" ht="16" x14ac:dyDescent="0.2">
      <c r="A195" s="5"/>
      <c r="B195" s="6"/>
      <c r="C195" s="6"/>
      <c r="D195" s="6"/>
      <c r="E195" s="6"/>
      <c r="F195" s="5"/>
      <c r="G195" s="5"/>
      <c r="H195" s="5"/>
      <c r="I195" s="5"/>
      <c r="J195" s="5"/>
      <c r="K195" s="5"/>
      <c r="L195" s="5"/>
      <c r="M195" s="5"/>
      <c r="N195" s="5"/>
      <c r="O195" s="5"/>
      <c r="P195" s="5"/>
      <c r="Q195" s="5"/>
      <c r="R195" s="5"/>
      <c r="S195" s="5"/>
      <c r="T195" s="5"/>
      <c r="U195" s="5"/>
      <c r="V195" s="5"/>
      <c r="W195" s="5"/>
    </row>
    <row r="196" spans="1:23" ht="16" x14ac:dyDescent="0.2">
      <c r="A196" s="5"/>
      <c r="B196" s="6"/>
      <c r="C196" s="6"/>
      <c r="D196" s="6"/>
      <c r="E196" s="6"/>
      <c r="F196" s="5"/>
      <c r="G196" s="5"/>
      <c r="H196" s="5"/>
      <c r="I196" s="5"/>
      <c r="J196" s="5"/>
      <c r="K196" s="5"/>
      <c r="L196" s="5"/>
      <c r="M196" s="5"/>
      <c r="N196" s="5"/>
      <c r="O196" s="5"/>
      <c r="P196" s="5"/>
      <c r="Q196" s="5"/>
      <c r="R196" s="5"/>
      <c r="S196" s="5"/>
      <c r="T196" s="5"/>
      <c r="U196" s="5"/>
      <c r="V196" s="5"/>
      <c r="W196" s="5"/>
    </row>
    <row r="197" spans="1:23" ht="16" x14ac:dyDescent="0.2">
      <c r="A197" s="5"/>
      <c r="B197" s="6"/>
      <c r="C197" s="6"/>
      <c r="D197" s="6"/>
      <c r="E197" s="6"/>
      <c r="F197" s="5"/>
      <c r="G197" s="5"/>
      <c r="H197" s="5"/>
      <c r="I197" s="5"/>
      <c r="J197" s="5"/>
      <c r="K197" s="5"/>
      <c r="L197" s="5"/>
      <c r="M197" s="5"/>
      <c r="N197" s="5"/>
      <c r="O197" s="5"/>
      <c r="P197" s="5"/>
      <c r="Q197" s="5"/>
      <c r="R197" s="5"/>
      <c r="S197" s="5"/>
      <c r="T197" s="5"/>
      <c r="U197" s="5"/>
      <c r="V197" s="5"/>
      <c r="W197" s="5"/>
    </row>
    <row r="198" spans="1:23" ht="16" x14ac:dyDescent="0.2">
      <c r="A198" s="5"/>
      <c r="B198" s="6"/>
      <c r="C198" s="6"/>
      <c r="D198" s="6"/>
      <c r="E198" s="6"/>
      <c r="F198" s="5"/>
      <c r="G198" s="5"/>
      <c r="H198" s="5"/>
      <c r="I198" s="5"/>
      <c r="J198" s="5"/>
      <c r="K198" s="5"/>
      <c r="L198" s="5"/>
      <c r="M198" s="5"/>
      <c r="N198" s="5"/>
      <c r="O198" s="5"/>
      <c r="P198" s="5"/>
      <c r="Q198" s="5"/>
      <c r="R198" s="5"/>
      <c r="S198" s="5"/>
      <c r="T198" s="5"/>
      <c r="U198" s="5"/>
      <c r="V198" s="5"/>
      <c r="W198" s="5"/>
    </row>
    <row r="199" spans="1:23" ht="16" x14ac:dyDescent="0.2">
      <c r="A199" s="5"/>
      <c r="B199" s="6"/>
      <c r="C199" s="6"/>
      <c r="D199" s="6"/>
      <c r="E199" s="6"/>
      <c r="F199" s="5"/>
      <c r="G199" s="5"/>
      <c r="H199" s="5"/>
      <c r="I199" s="5"/>
      <c r="J199" s="5"/>
      <c r="K199" s="5"/>
      <c r="L199" s="5"/>
      <c r="M199" s="5"/>
      <c r="N199" s="5"/>
      <c r="O199" s="5"/>
      <c r="P199" s="5"/>
      <c r="Q199" s="5"/>
      <c r="R199" s="5"/>
      <c r="S199" s="5"/>
      <c r="T199" s="5"/>
      <c r="U199" s="5"/>
      <c r="V199" s="5"/>
      <c r="W199" s="5"/>
    </row>
    <row r="200" spans="1:23" ht="16" x14ac:dyDescent="0.2">
      <c r="A200" s="5"/>
      <c r="B200" s="6"/>
      <c r="C200" s="6"/>
      <c r="D200" s="6"/>
      <c r="E200" s="6"/>
      <c r="F200" s="5"/>
      <c r="G200" s="5"/>
      <c r="H200" s="5"/>
      <c r="I200" s="5"/>
      <c r="J200" s="5"/>
      <c r="K200" s="5"/>
      <c r="L200" s="5"/>
      <c r="M200" s="5"/>
      <c r="N200" s="5"/>
      <c r="O200" s="5"/>
      <c r="P200" s="5"/>
      <c r="Q200" s="5"/>
      <c r="R200" s="5"/>
      <c r="S200" s="5"/>
      <c r="T200" s="5"/>
      <c r="U200" s="5"/>
      <c r="V200" s="5"/>
      <c r="W200" s="5"/>
    </row>
    <row r="201" spans="1:23" ht="16" x14ac:dyDescent="0.2">
      <c r="A201" s="5"/>
      <c r="B201" s="6"/>
      <c r="C201" s="6"/>
      <c r="D201" s="6"/>
      <c r="E201" s="6"/>
      <c r="F201" s="5"/>
      <c r="G201" s="5"/>
      <c r="H201" s="5"/>
      <c r="I201" s="5"/>
      <c r="J201" s="5"/>
      <c r="K201" s="5"/>
      <c r="L201" s="5"/>
      <c r="M201" s="5"/>
      <c r="N201" s="5"/>
      <c r="O201" s="5"/>
      <c r="P201" s="5"/>
      <c r="Q201" s="5"/>
      <c r="R201" s="5"/>
      <c r="S201" s="5"/>
      <c r="T201" s="5"/>
      <c r="U201" s="5"/>
      <c r="V201" s="5"/>
      <c r="W201" s="5"/>
    </row>
    <row r="202" spans="1:23" ht="16" x14ac:dyDescent="0.2">
      <c r="A202" s="5"/>
      <c r="B202" s="6"/>
      <c r="C202" s="6"/>
      <c r="D202" s="6"/>
      <c r="E202" s="6"/>
      <c r="F202" s="5"/>
      <c r="G202" s="5"/>
      <c r="H202" s="5"/>
      <c r="I202" s="5"/>
      <c r="J202" s="5"/>
      <c r="K202" s="5"/>
      <c r="L202" s="5"/>
      <c r="M202" s="5"/>
      <c r="N202" s="5"/>
      <c r="O202" s="5"/>
      <c r="P202" s="5"/>
      <c r="Q202" s="5"/>
      <c r="R202" s="5"/>
      <c r="S202" s="5"/>
      <c r="T202" s="5"/>
      <c r="U202" s="5"/>
      <c r="V202" s="5"/>
      <c r="W202" s="5"/>
    </row>
    <row r="203" spans="1:23" ht="16" x14ac:dyDescent="0.2">
      <c r="A203" s="5"/>
      <c r="B203" s="6"/>
      <c r="C203" s="6"/>
      <c r="D203" s="6"/>
      <c r="E203" s="6"/>
      <c r="F203" s="5"/>
      <c r="G203" s="5"/>
      <c r="H203" s="5"/>
      <c r="I203" s="5"/>
      <c r="J203" s="5"/>
      <c r="K203" s="5"/>
      <c r="L203" s="5"/>
      <c r="M203" s="5"/>
      <c r="N203" s="5"/>
      <c r="O203" s="5"/>
      <c r="P203" s="5"/>
      <c r="Q203" s="5"/>
      <c r="R203" s="5"/>
      <c r="S203" s="5"/>
      <c r="T203" s="5"/>
      <c r="U203" s="5"/>
      <c r="V203" s="5"/>
      <c r="W203" s="5"/>
    </row>
    <row r="204" spans="1:23" ht="16" x14ac:dyDescent="0.2">
      <c r="A204" s="5"/>
      <c r="B204" s="6"/>
      <c r="C204" s="6"/>
      <c r="D204" s="6"/>
      <c r="E204" s="6"/>
      <c r="F204" s="5"/>
      <c r="G204" s="5"/>
      <c r="H204" s="5"/>
      <c r="I204" s="5"/>
      <c r="J204" s="5"/>
      <c r="K204" s="5"/>
      <c r="L204" s="5"/>
      <c r="M204" s="5"/>
      <c r="N204" s="5"/>
      <c r="O204" s="5"/>
      <c r="P204" s="5"/>
      <c r="Q204" s="5"/>
      <c r="R204" s="5"/>
      <c r="S204" s="5"/>
      <c r="T204" s="5"/>
      <c r="U204" s="5"/>
      <c r="V204" s="5"/>
      <c r="W204" s="5"/>
    </row>
    <row r="205" spans="1:23" ht="16" x14ac:dyDescent="0.2">
      <c r="A205" s="5"/>
      <c r="B205" s="6"/>
      <c r="C205" s="6"/>
      <c r="D205" s="6"/>
      <c r="E205" s="6"/>
      <c r="F205" s="5"/>
      <c r="G205" s="5"/>
      <c r="H205" s="5"/>
      <c r="I205" s="5"/>
      <c r="J205" s="5"/>
      <c r="K205" s="5"/>
      <c r="L205" s="5"/>
      <c r="M205" s="5"/>
      <c r="N205" s="5"/>
      <c r="O205" s="5"/>
      <c r="P205" s="5"/>
      <c r="Q205" s="5"/>
      <c r="R205" s="5"/>
      <c r="S205" s="5"/>
      <c r="T205" s="5"/>
      <c r="U205" s="5"/>
      <c r="V205" s="5"/>
      <c r="W205" s="5"/>
    </row>
    <row r="206" spans="1:23" ht="16" x14ac:dyDescent="0.2">
      <c r="A206" s="5"/>
      <c r="B206" s="6"/>
      <c r="C206" s="6"/>
      <c r="D206" s="6"/>
      <c r="E206" s="6"/>
      <c r="F206" s="5"/>
      <c r="G206" s="5"/>
      <c r="H206" s="5"/>
      <c r="I206" s="5"/>
      <c r="J206" s="5"/>
      <c r="K206" s="5"/>
      <c r="L206" s="5"/>
      <c r="M206" s="5"/>
      <c r="N206" s="5"/>
      <c r="O206" s="5"/>
      <c r="P206" s="5"/>
      <c r="Q206" s="5"/>
      <c r="R206" s="5"/>
      <c r="S206" s="5"/>
      <c r="T206" s="5"/>
      <c r="U206" s="5"/>
      <c r="V206" s="5"/>
      <c r="W206" s="5"/>
    </row>
    <row r="207" spans="1:23" ht="16" x14ac:dyDescent="0.2">
      <c r="A207" s="5"/>
      <c r="B207" s="6"/>
      <c r="C207" s="6"/>
      <c r="D207" s="6"/>
      <c r="E207" s="6"/>
      <c r="F207" s="5"/>
      <c r="G207" s="5"/>
      <c r="H207" s="5"/>
      <c r="I207" s="5"/>
      <c r="J207" s="5"/>
      <c r="K207" s="5"/>
      <c r="L207" s="5"/>
      <c r="M207" s="5"/>
      <c r="N207" s="5"/>
      <c r="O207" s="5"/>
      <c r="P207" s="5"/>
      <c r="Q207" s="5"/>
      <c r="R207" s="5"/>
      <c r="S207" s="5"/>
      <c r="T207" s="5"/>
      <c r="U207" s="5"/>
      <c r="V207" s="5"/>
      <c r="W207" s="5"/>
    </row>
    <row r="208" spans="1:23" ht="16" x14ac:dyDescent="0.2">
      <c r="A208" s="5"/>
      <c r="B208" s="6"/>
      <c r="C208" s="6"/>
      <c r="D208" s="6"/>
      <c r="E208" s="6"/>
      <c r="F208" s="5"/>
      <c r="G208" s="5"/>
      <c r="H208" s="5"/>
      <c r="I208" s="5"/>
      <c r="J208" s="5"/>
      <c r="K208" s="5"/>
      <c r="L208" s="5"/>
      <c r="M208" s="5"/>
      <c r="N208" s="5"/>
      <c r="O208" s="5"/>
      <c r="P208" s="5"/>
      <c r="Q208" s="5"/>
      <c r="R208" s="5"/>
      <c r="S208" s="5"/>
      <c r="T208" s="5"/>
      <c r="U208" s="5"/>
      <c r="V208" s="5"/>
      <c r="W208" s="5"/>
    </row>
    <row r="209" spans="1:23" ht="16" x14ac:dyDescent="0.2">
      <c r="A209" s="5"/>
      <c r="B209" s="6"/>
      <c r="C209" s="6"/>
      <c r="D209" s="6"/>
      <c r="E209" s="6"/>
      <c r="F209" s="5"/>
      <c r="G209" s="5"/>
      <c r="H209" s="5"/>
      <c r="I209" s="5"/>
      <c r="J209" s="5"/>
      <c r="K209" s="5"/>
      <c r="L209" s="5"/>
      <c r="M209" s="5"/>
      <c r="N209" s="5"/>
      <c r="O209" s="5"/>
      <c r="P209" s="5"/>
      <c r="Q209" s="5"/>
      <c r="R209" s="5"/>
      <c r="S209" s="5"/>
      <c r="T209" s="5"/>
      <c r="U209" s="5"/>
      <c r="V209" s="5"/>
      <c r="W209" s="5"/>
    </row>
    <row r="210" spans="1:23" ht="16" x14ac:dyDescent="0.2">
      <c r="A210" s="5"/>
      <c r="B210" s="6"/>
      <c r="C210" s="6"/>
      <c r="D210" s="6"/>
      <c r="E210" s="6"/>
      <c r="F210" s="5"/>
      <c r="G210" s="5"/>
      <c r="H210" s="5"/>
      <c r="I210" s="5"/>
      <c r="J210" s="5"/>
      <c r="K210" s="5"/>
      <c r="L210" s="5"/>
      <c r="M210" s="5"/>
      <c r="N210" s="5"/>
      <c r="O210" s="5"/>
      <c r="P210" s="5"/>
      <c r="Q210" s="5"/>
      <c r="R210" s="5"/>
      <c r="S210" s="5"/>
      <c r="T210" s="5"/>
      <c r="U210" s="5"/>
      <c r="V210" s="5"/>
      <c r="W210" s="5"/>
    </row>
    <row r="211" spans="1:23" ht="16" x14ac:dyDescent="0.2">
      <c r="A211" s="5"/>
      <c r="B211" s="6"/>
      <c r="C211" s="6"/>
      <c r="D211" s="6"/>
      <c r="E211" s="6"/>
      <c r="F211" s="5"/>
      <c r="G211" s="5"/>
      <c r="H211" s="5"/>
      <c r="I211" s="5"/>
      <c r="J211" s="5"/>
      <c r="K211" s="5"/>
      <c r="L211" s="5"/>
      <c r="M211" s="5"/>
      <c r="N211" s="5"/>
      <c r="O211" s="5"/>
      <c r="P211" s="5"/>
      <c r="Q211" s="5"/>
      <c r="R211" s="5"/>
      <c r="S211" s="5"/>
      <c r="T211" s="5"/>
      <c r="U211" s="5"/>
      <c r="V211" s="5"/>
      <c r="W211" s="5"/>
    </row>
    <row r="212" spans="1:23" ht="16" x14ac:dyDescent="0.2">
      <c r="A212" s="5"/>
      <c r="B212" s="6"/>
      <c r="C212" s="6"/>
      <c r="D212" s="6"/>
      <c r="E212" s="6"/>
      <c r="F212" s="5"/>
      <c r="G212" s="5"/>
      <c r="H212" s="5"/>
      <c r="I212" s="5"/>
      <c r="J212" s="5"/>
      <c r="K212" s="5"/>
      <c r="L212" s="5"/>
      <c r="M212" s="5"/>
      <c r="N212" s="5"/>
      <c r="O212" s="5"/>
      <c r="P212" s="5"/>
      <c r="Q212" s="5"/>
      <c r="R212" s="5"/>
      <c r="S212" s="5"/>
      <c r="T212" s="5"/>
      <c r="U212" s="5"/>
      <c r="V212" s="5"/>
      <c r="W212" s="5"/>
    </row>
    <row r="213" spans="1:23" ht="16" x14ac:dyDescent="0.2">
      <c r="A213" s="5"/>
      <c r="B213" s="6"/>
      <c r="C213" s="6"/>
      <c r="D213" s="6"/>
      <c r="E213" s="6"/>
      <c r="F213" s="5"/>
      <c r="G213" s="5"/>
      <c r="H213" s="5"/>
      <c r="I213" s="5"/>
      <c r="J213" s="5"/>
      <c r="K213" s="5"/>
      <c r="L213" s="5"/>
      <c r="M213" s="5"/>
      <c r="N213" s="5"/>
      <c r="O213" s="5"/>
      <c r="P213" s="5"/>
      <c r="Q213" s="5"/>
      <c r="R213" s="5"/>
      <c r="S213" s="5"/>
      <c r="T213" s="5"/>
      <c r="U213" s="5"/>
      <c r="V213" s="5"/>
      <c r="W213" s="5"/>
    </row>
    <row r="214" spans="1:23" ht="16" x14ac:dyDescent="0.2">
      <c r="A214" s="5"/>
      <c r="B214" s="6"/>
      <c r="C214" s="6"/>
      <c r="D214" s="6"/>
      <c r="E214" s="6"/>
      <c r="F214" s="5"/>
      <c r="G214" s="5"/>
      <c r="H214" s="5"/>
      <c r="I214" s="5"/>
      <c r="J214" s="5"/>
      <c r="K214" s="5"/>
      <c r="L214" s="5"/>
      <c r="M214" s="5"/>
      <c r="N214" s="5"/>
      <c r="O214" s="5"/>
      <c r="P214" s="5"/>
      <c r="Q214" s="5"/>
      <c r="R214" s="5"/>
      <c r="S214" s="5"/>
      <c r="T214" s="5"/>
      <c r="U214" s="5"/>
      <c r="V214" s="5"/>
      <c r="W214" s="5"/>
    </row>
    <row r="215" spans="1:23" ht="16" x14ac:dyDescent="0.2">
      <c r="A215" s="5"/>
      <c r="B215" s="6"/>
      <c r="C215" s="6"/>
      <c r="D215" s="6"/>
      <c r="E215" s="6"/>
      <c r="F215" s="5"/>
      <c r="G215" s="5"/>
      <c r="H215" s="5"/>
      <c r="I215" s="5"/>
      <c r="J215" s="5"/>
      <c r="K215" s="5"/>
      <c r="L215" s="5"/>
      <c r="M215" s="5"/>
      <c r="N215" s="5"/>
      <c r="O215" s="5"/>
      <c r="P215" s="5"/>
      <c r="Q215" s="5"/>
      <c r="R215" s="5"/>
      <c r="S215" s="5"/>
      <c r="T215" s="5"/>
      <c r="U215" s="5"/>
      <c r="V215" s="5"/>
      <c r="W215" s="5"/>
    </row>
    <row r="216" spans="1:23" ht="16" x14ac:dyDescent="0.2">
      <c r="A216" s="5"/>
      <c r="B216" s="6"/>
      <c r="C216" s="6"/>
      <c r="D216" s="6"/>
      <c r="E216" s="6"/>
      <c r="F216" s="5"/>
      <c r="G216" s="5"/>
      <c r="H216" s="5"/>
      <c r="I216" s="5"/>
      <c r="J216" s="5"/>
      <c r="K216" s="5"/>
      <c r="L216" s="5"/>
      <c r="M216" s="5"/>
      <c r="N216" s="5"/>
      <c r="O216" s="5"/>
      <c r="P216" s="5"/>
      <c r="Q216" s="5"/>
      <c r="R216" s="5"/>
      <c r="S216" s="5"/>
      <c r="T216" s="5"/>
      <c r="U216" s="5"/>
      <c r="V216" s="5"/>
      <c r="W216" s="5"/>
    </row>
    <row r="217" spans="1:23" ht="16" x14ac:dyDescent="0.2">
      <c r="A217" s="5"/>
      <c r="B217" s="6"/>
      <c r="C217" s="6"/>
      <c r="D217" s="6"/>
      <c r="E217" s="6"/>
      <c r="F217" s="5"/>
      <c r="G217" s="5"/>
      <c r="H217" s="5"/>
      <c r="I217" s="5"/>
      <c r="J217" s="5"/>
      <c r="K217" s="5"/>
      <c r="L217" s="5"/>
      <c r="M217" s="5"/>
      <c r="N217" s="5"/>
      <c r="O217" s="5"/>
      <c r="P217" s="5"/>
      <c r="Q217" s="5"/>
      <c r="R217" s="5"/>
      <c r="S217" s="5"/>
      <c r="T217" s="5"/>
      <c r="U217" s="5"/>
      <c r="V217" s="5"/>
      <c r="W217" s="5"/>
    </row>
    <row r="218" spans="1:23" ht="16" x14ac:dyDescent="0.2">
      <c r="A218" s="5"/>
      <c r="B218" s="6"/>
      <c r="C218" s="6"/>
      <c r="D218" s="6"/>
      <c r="E218" s="6"/>
      <c r="F218" s="5"/>
      <c r="G218" s="5"/>
      <c r="H218" s="5"/>
      <c r="I218" s="5"/>
      <c r="J218" s="5"/>
      <c r="K218" s="5"/>
      <c r="L218" s="5"/>
      <c r="M218" s="5"/>
      <c r="N218" s="5"/>
      <c r="O218" s="5"/>
      <c r="P218" s="5"/>
      <c r="Q218" s="5"/>
      <c r="R218" s="5"/>
      <c r="S218" s="5"/>
      <c r="T218" s="5"/>
      <c r="U218" s="5"/>
      <c r="V218" s="5"/>
      <c r="W218" s="5"/>
    </row>
    <row r="219" spans="1:23" ht="16" x14ac:dyDescent="0.2">
      <c r="A219" s="5"/>
      <c r="B219" s="6"/>
      <c r="C219" s="6"/>
      <c r="D219" s="6"/>
      <c r="E219" s="6"/>
      <c r="F219" s="5"/>
      <c r="G219" s="5"/>
      <c r="H219" s="5"/>
      <c r="I219" s="5"/>
      <c r="J219" s="5"/>
      <c r="K219" s="5"/>
      <c r="L219" s="5"/>
      <c r="M219" s="5"/>
      <c r="N219" s="5"/>
      <c r="O219" s="5"/>
      <c r="P219" s="5"/>
      <c r="Q219" s="5"/>
      <c r="R219" s="5"/>
      <c r="S219" s="5"/>
      <c r="T219" s="5"/>
      <c r="U219" s="5"/>
      <c r="V219" s="5"/>
      <c r="W219" s="5"/>
    </row>
    <row r="220" spans="1:23" ht="16" x14ac:dyDescent="0.2">
      <c r="A220" s="5"/>
      <c r="B220" s="6"/>
      <c r="C220" s="6"/>
      <c r="D220" s="6"/>
      <c r="E220" s="6"/>
      <c r="F220" s="5"/>
      <c r="G220" s="5"/>
      <c r="H220" s="5"/>
      <c r="I220" s="5"/>
      <c r="J220" s="5"/>
      <c r="K220" s="5"/>
      <c r="L220" s="5"/>
      <c r="M220" s="5"/>
      <c r="N220" s="5"/>
      <c r="O220" s="5"/>
      <c r="P220" s="5"/>
      <c r="Q220" s="5"/>
      <c r="R220" s="5"/>
      <c r="S220" s="5"/>
      <c r="T220" s="5"/>
      <c r="U220" s="5"/>
      <c r="V220" s="5"/>
      <c r="W220" s="5"/>
    </row>
    <row r="221" spans="1:23" ht="16" x14ac:dyDescent="0.2">
      <c r="A221" s="5"/>
      <c r="B221" s="6"/>
      <c r="C221" s="6"/>
      <c r="D221" s="6"/>
      <c r="E221" s="6"/>
      <c r="F221" s="5"/>
      <c r="G221" s="5"/>
      <c r="H221" s="5"/>
      <c r="I221" s="5"/>
      <c r="J221" s="5"/>
      <c r="K221" s="5"/>
      <c r="L221" s="5"/>
      <c r="M221" s="5"/>
      <c r="N221" s="5"/>
      <c r="O221" s="5"/>
      <c r="P221" s="5"/>
      <c r="Q221" s="5"/>
      <c r="R221" s="5"/>
      <c r="S221" s="5"/>
      <c r="T221" s="5"/>
      <c r="U221" s="5"/>
      <c r="V221" s="5"/>
      <c r="W221" s="5"/>
    </row>
    <row r="222" spans="1:23" ht="16" x14ac:dyDescent="0.2">
      <c r="A222" s="5"/>
      <c r="B222" s="6"/>
      <c r="C222" s="6"/>
      <c r="D222" s="6"/>
      <c r="E222" s="6"/>
      <c r="F222" s="5"/>
      <c r="G222" s="5"/>
      <c r="H222" s="5"/>
      <c r="I222" s="5"/>
      <c r="J222" s="5"/>
      <c r="K222" s="5"/>
      <c r="L222" s="5"/>
      <c r="M222" s="5"/>
      <c r="N222" s="5"/>
      <c r="O222" s="5"/>
      <c r="P222" s="5"/>
      <c r="Q222" s="5"/>
      <c r="R222" s="5"/>
      <c r="S222" s="5"/>
      <c r="T222" s="5"/>
      <c r="U222" s="5"/>
      <c r="V222" s="5"/>
      <c r="W222" s="5"/>
    </row>
    <row r="223" spans="1:23" ht="16" x14ac:dyDescent="0.2">
      <c r="A223" s="5"/>
      <c r="B223" s="6"/>
      <c r="C223" s="6"/>
      <c r="D223" s="6"/>
      <c r="E223" s="6"/>
      <c r="F223" s="5"/>
      <c r="G223" s="5"/>
      <c r="H223" s="5"/>
      <c r="I223" s="5"/>
      <c r="J223" s="5"/>
      <c r="K223" s="5"/>
      <c r="L223" s="5"/>
      <c r="M223" s="5"/>
      <c r="N223" s="5"/>
      <c r="O223" s="5"/>
      <c r="P223" s="5"/>
      <c r="Q223" s="5"/>
      <c r="R223" s="5"/>
      <c r="S223" s="5"/>
      <c r="T223" s="5"/>
      <c r="U223" s="5"/>
      <c r="V223" s="5"/>
      <c r="W223" s="5"/>
    </row>
    <row r="224" spans="1:23" ht="16" x14ac:dyDescent="0.2">
      <c r="A224" s="5"/>
      <c r="B224" s="6"/>
      <c r="C224" s="6"/>
      <c r="D224" s="6"/>
      <c r="E224" s="6"/>
      <c r="F224" s="5"/>
      <c r="G224" s="5"/>
      <c r="H224" s="5"/>
      <c r="I224" s="5"/>
      <c r="J224" s="5"/>
      <c r="K224" s="5"/>
      <c r="L224" s="5"/>
      <c r="M224" s="5"/>
      <c r="N224" s="5"/>
      <c r="O224" s="5"/>
      <c r="P224" s="5"/>
      <c r="Q224" s="5"/>
      <c r="R224" s="5"/>
      <c r="S224" s="5"/>
      <c r="T224" s="5"/>
      <c r="U224" s="5"/>
      <c r="V224" s="5"/>
      <c r="W224" s="5"/>
    </row>
    <row r="225" spans="1:23" ht="16" x14ac:dyDescent="0.2">
      <c r="A225" s="5"/>
      <c r="B225" s="6"/>
      <c r="C225" s="6"/>
      <c r="D225" s="6"/>
      <c r="E225" s="6"/>
      <c r="F225" s="5"/>
      <c r="G225" s="5"/>
      <c r="H225" s="5"/>
      <c r="I225" s="5"/>
      <c r="J225" s="5"/>
      <c r="K225" s="5"/>
      <c r="L225" s="5"/>
      <c r="M225" s="5"/>
      <c r="N225" s="5"/>
      <c r="O225" s="5"/>
      <c r="P225" s="5"/>
      <c r="Q225" s="5"/>
      <c r="R225" s="5"/>
      <c r="S225" s="5"/>
      <c r="T225" s="5"/>
      <c r="U225" s="5"/>
      <c r="V225" s="5"/>
      <c r="W225" s="5"/>
    </row>
    <row r="226" spans="1:23" ht="16" x14ac:dyDescent="0.2">
      <c r="A226" s="5"/>
      <c r="B226" s="6"/>
      <c r="C226" s="6"/>
      <c r="D226" s="6"/>
      <c r="E226" s="6"/>
      <c r="F226" s="5"/>
      <c r="G226" s="5"/>
      <c r="H226" s="5"/>
      <c r="I226" s="5"/>
      <c r="J226" s="5"/>
      <c r="K226" s="5"/>
      <c r="L226" s="5"/>
      <c r="M226" s="5"/>
      <c r="N226" s="5"/>
      <c r="O226" s="5"/>
      <c r="P226" s="5"/>
      <c r="Q226" s="5"/>
      <c r="R226" s="5"/>
      <c r="S226" s="5"/>
      <c r="T226" s="5"/>
      <c r="U226" s="5"/>
      <c r="V226" s="5"/>
      <c r="W226" s="5"/>
    </row>
    <row r="227" spans="1:23" ht="16" x14ac:dyDescent="0.2">
      <c r="A227" s="5"/>
      <c r="B227" s="6"/>
      <c r="C227" s="6"/>
      <c r="D227" s="6"/>
      <c r="E227" s="6"/>
      <c r="F227" s="5"/>
      <c r="G227" s="5"/>
      <c r="H227" s="5"/>
      <c r="I227" s="5"/>
      <c r="J227" s="5"/>
      <c r="K227" s="5"/>
      <c r="L227" s="5"/>
      <c r="M227" s="5"/>
      <c r="N227" s="5"/>
      <c r="O227" s="5"/>
      <c r="P227" s="5"/>
      <c r="Q227" s="5"/>
      <c r="R227" s="5"/>
      <c r="S227" s="5"/>
      <c r="T227" s="5"/>
      <c r="U227" s="5"/>
      <c r="V227" s="5"/>
      <c r="W227" s="5"/>
    </row>
    <row r="228" spans="1:23" ht="16" x14ac:dyDescent="0.2">
      <c r="A228" s="5"/>
      <c r="B228" s="6"/>
      <c r="C228" s="6"/>
      <c r="D228" s="6"/>
      <c r="E228" s="6"/>
      <c r="F228" s="5"/>
      <c r="G228" s="5"/>
      <c r="H228" s="5"/>
      <c r="I228" s="5"/>
      <c r="J228" s="5"/>
      <c r="K228" s="5"/>
      <c r="L228" s="5"/>
      <c r="M228" s="5"/>
      <c r="N228" s="5"/>
      <c r="O228" s="5"/>
      <c r="P228" s="5"/>
      <c r="Q228" s="5"/>
      <c r="R228" s="5"/>
      <c r="S228" s="5"/>
      <c r="T228" s="5"/>
      <c r="U228" s="5"/>
      <c r="V228" s="5"/>
      <c r="W228" s="5"/>
    </row>
    <row r="229" spans="1:23" ht="16" x14ac:dyDescent="0.2">
      <c r="A229" s="5"/>
      <c r="B229" s="6"/>
      <c r="C229" s="6"/>
      <c r="D229" s="6"/>
      <c r="E229" s="6"/>
      <c r="F229" s="5"/>
      <c r="G229" s="5"/>
      <c r="H229" s="5"/>
      <c r="I229" s="5"/>
      <c r="J229" s="5"/>
      <c r="K229" s="5"/>
      <c r="L229" s="5"/>
      <c r="M229" s="5"/>
      <c r="N229" s="5"/>
      <c r="O229" s="5"/>
      <c r="P229" s="5"/>
      <c r="Q229" s="5"/>
      <c r="R229" s="5"/>
      <c r="S229" s="5"/>
      <c r="T229" s="5"/>
      <c r="U229" s="5"/>
      <c r="V229" s="5"/>
      <c r="W229" s="5"/>
    </row>
    <row r="230" spans="1:23" ht="16" x14ac:dyDescent="0.2">
      <c r="A230" s="5"/>
      <c r="B230" s="6"/>
      <c r="C230" s="6"/>
      <c r="D230" s="6"/>
      <c r="E230" s="6"/>
      <c r="F230" s="5"/>
      <c r="G230" s="5"/>
      <c r="H230" s="5"/>
      <c r="I230" s="5"/>
      <c r="J230" s="5"/>
      <c r="K230" s="5"/>
      <c r="L230" s="5"/>
      <c r="M230" s="5"/>
      <c r="N230" s="5"/>
      <c r="O230" s="5"/>
      <c r="P230" s="5"/>
      <c r="Q230" s="5"/>
      <c r="R230" s="5"/>
      <c r="S230" s="5"/>
      <c r="T230" s="5"/>
      <c r="U230" s="5"/>
      <c r="V230" s="5"/>
      <c r="W230" s="5"/>
    </row>
    <row r="231" spans="1:23" ht="16" x14ac:dyDescent="0.2">
      <c r="A231" s="5"/>
      <c r="B231" s="6"/>
      <c r="C231" s="6"/>
      <c r="D231" s="6"/>
      <c r="E231" s="6"/>
      <c r="F231" s="5"/>
      <c r="G231" s="5"/>
      <c r="H231" s="5"/>
      <c r="I231" s="5"/>
      <c r="J231" s="5"/>
      <c r="K231" s="5"/>
      <c r="L231" s="5"/>
      <c r="M231" s="5"/>
      <c r="N231" s="5"/>
      <c r="O231" s="5"/>
      <c r="P231" s="5"/>
      <c r="Q231" s="5"/>
      <c r="R231" s="5"/>
      <c r="S231" s="5"/>
      <c r="T231" s="5"/>
      <c r="U231" s="5"/>
      <c r="V231" s="5"/>
      <c r="W231" s="5"/>
    </row>
    <row r="232" spans="1:23" ht="16" x14ac:dyDescent="0.2">
      <c r="A232" s="5"/>
      <c r="B232" s="6"/>
      <c r="C232" s="6"/>
      <c r="D232" s="6"/>
      <c r="E232" s="6"/>
      <c r="F232" s="5"/>
      <c r="G232" s="5"/>
      <c r="H232" s="5"/>
      <c r="I232" s="5"/>
      <c r="J232" s="5"/>
      <c r="K232" s="5"/>
      <c r="L232" s="5"/>
      <c r="M232" s="5"/>
      <c r="N232" s="5"/>
      <c r="O232" s="5"/>
      <c r="P232" s="5"/>
      <c r="Q232" s="5"/>
      <c r="R232" s="5"/>
      <c r="S232" s="5"/>
      <c r="T232" s="5"/>
      <c r="U232" s="5"/>
      <c r="V232" s="5"/>
      <c r="W232" s="5"/>
    </row>
    <row r="233" spans="1:23" ht="16" x14ac:dyDescent="0.2">
      <c r="A233" s="5"/>
      <c r="B233" s="6"/>
      <c r="C233" s="6"/>
      <c r="D233" s="6"/>
      <c r="E233" s="6"/>
      <c r="F233" s="5"/>
      <c r="G233" s="5"/>
      <c r="H233" s="5"/>
      <c r="I233" s="5"/>
      <c r="J233" s="5"/>
      <c r="K233" s="5"/>
      <c r="L233" s="5"/>
      <c r="M233" s="5"/>
      <c r="N233" s="5"/>
      <c r="O233" s="5"/>
      <c r="P233" s="5"/>
      <c r="Q233" s="5"/>
      <c r="R233" s="5"/>
      <c r="S233" s="5"/>
      <c r="T233" s="5"/>
      <c r="U233" s="5"/>
      <c r="V233" s="5"/>
      <c r="W233" s="5"/>
    </row>
    <row r="234" spans="1:23" ht="16" x14ac:dyDescent="0.2">
      <c r="A234" s="5"/>
      <c r="B234" s="6"/>
      <c r="C234" s="6"/>
      <c r="D234" s="6"/>
      <c r="E234" s="6"/>
      <c r="F234" s="5"/>
      <c r="G234" s="5"/>
      <c r="H234" s="5"/>
      <c r="I234" s="5"/>
      <c r="J234" s="5"/>
      <c r="K234" s="5"/>
      <c r="L234" s="5"/>
      <c r="M234" s="5"/>
      <c r="N234" s="5"/>
      <c r="O234" s="5"/>
      <c r="P234" s="5"/>
      <c r="Q234" s="5"/>
      <c r="R234" s="5"/>
      <c r="S234" s="5"/>
      <c r="T234" s="5"/>
      <c r="U234" s="5"/>
      <c r="V234" s="5"/>
      <c r="W234" s="5"/>
    </row>
    <row r="235" spans="1:23" ht="16" x14ac:dyDescent="0.2">
      <c r="A235" s="5"/>
      <c r="B235" s="6"/>
      <c r="C235" s="6"/>
      <c r="D235" s="6"/>
      <c r="E235" s="6"/>
      <c r="F235" s="5"/>
      <c r="G235" s="5"/>
      <c r="H235" s="5"/>
      <c r="I235" s="5"/>
      <c r="J235" s="5"/>
      <c r="K235" s="5"/>
      <c r="L235" s="5"/>
      <c r="M235" s="5"/>
      <c r="N235" s="5"/>
      <c r="O235" s="5"/>
      <c r="P235" s="5"/>
      <c r="Q235" s="5"/>
      <c r="R235" s="5"/>
      <c r="S235" s="5"/>
      <c r="T235" s="5"/>
      <c r="U235" s="5"/>
      <c r="V235" s="5"/>
      <c r="W235" s="5"/>
    </row>
    <row r="236" spans="1:23" ht="16" x14ac:dyDescent="0.2">
      <c r="A236" s="5"/>
      <c r="B236" s="6"/>
      <c r="C236" s="6"/>
      <c r="D236" s="6"/>
      <c r="E236" s="6"/>
      <c r="F236" s="5"/>
      <c r="G236" s="5"/>
      <c r="H236" s="5"/>
      <c r="I236" s="5"/>
      <c r="J236" s="5"/>
      <c r="K236" s="5"/>
      <c r="L236" s="5"/>
      <c r="M236" s="5"/>
      <c r="N236" s="5"/>
      <c r="O236" s="5"/>
      <c r="P236" s="5"/>
      <c r="Q236" s="5"/>
      <c r="R236" s="5"/>
      <c r="S236" s="5"/>
      <c r="T236" s="5"/>
      <c r="U236" s="5"/>
      <c r="V236" s="5"/>
      <c r="W236" s="5"/>
    </row>
    <row r="237" spans="1:23" ht="16" x14ac:dyDescent="0.2">
      <c r="A237" s="5"/>
      <c r="B237" s="6"/>
      <c r="C237" s="6"/>
      <c r="D237" s="6"/>
      <c r="E237" s="6"/>
      <c r="F237" s="5"/>
      <c r="G237" s="5"/>
      <c r="H237" s="5"/>
      <c r="I237" s="5"/>
      <c r="J237" s="5"/>
      <c r="K237" s="5"/>
      <c r="L237" s="5"/>
      <c r="M237" s="5"/>
      <c r="N237" s="5"/>
      <c r="O237" s="5"/>
      <c r="P237" s="5"/>
      <c r="Q237" s="5"/>
      <c r="R237" s="5"/>
      <c r="S237" s="5"/>
      <c r="T237" s="5"/>
      <c r="U237" s="5"/>
      <c r="V237" s="5"/>
      <c r="W237" s="5"/>
    </row>
    <row r="238" spans="1:23" ht="16" x14ac:dyDescent="0.2">
      <c r="A238" s="5"/>
      <c r="B238" s="6"/>
      <c r="C238" s="6"/>
      <c r="D238" s="6"/>
      <c r="E238" s="6"/>
      <c r="F238" s="5"/>
      <c r="G238" s="5"/>
      <c r="H238" s="5"/>
      <c r="I238" s="5"/>
      <c r="J238" s="5"/>
      <c r="K238" s="5"/>
      <c r="L238" s="5"/>
      <c r="M238" s="5"/>
      <c r="N238" s="5"/>
      <c r="O238" s="5"/>
      <c r="P238" s="5"/>
      <c r="Q238" s="5"/>
      <c r="R238" s="5"/>
      <c r="S238" s="5"/>
      <c r="T238" s="5"/>
      <c r="U238" s="5"/>
      <c r="V238" s="5"/>
      <c r="W238" s="5"/>
    </row>
    <row r="239" spans="1:23" ht="16" x14ac:dyDescent="0.2">
      <c r="A239" s="5"/>
      <c r="B239" s="6"/>
      <c r="C239" s="6"/>
      <c r="D239" s="6"/>
      <c r="E239" s="6"/>
      <c r="F239" s="5"/>
      <c r="G239" s="5"/>
      <c r="H239" s="5"/>
      <c r="I239" s="5"/>
      <c r="J239" s="5"/>
      <c r="K239" s="5"/>
      <c r="L239" s="5"/>
      <c r="M239" s="5"/>
      <c r="N239" s="5"/>
      <c r="O239" s="5"/>
      <c r="P239" s="5"/>
      <c r="Q239" s="5"/>
      <c r="R239" s="5"/>
      <c r="S239" s="5"/>
      <c r="T239" s="5"/>
      <c r="U239" s="5"/>
      <c r="V239" s="5"/>
      <c r="W239" s="5"/>
    </row>
    <row r="240" spans="1:23" ht="16" x14ac:dyDescent="0.2">
      <c r="A240" s="5"/>
      <c r="B240" s="6"/>
      <c r="C240" s="6"/>
      <c r="D240" s="6"/>
      <c r="E240" s="6"/>
      <c r="F240" s="5"/>
      <c r="G240" s="5"/>
      <c r="H240" s="5"/>
      <c r="I240" s="5"/>
      <c r="J240" s="5"/>
      <c r="K240" s="5"/>
      <c r="L240" s="5"/>
      <c r="M240" s="5"/>
      <c r="N240" s="5"/>
      <c r="O240" s="5"/>
      <c r="P240" s="5"/>
      <c r="Q240" s="5"/>
      <c r="R240" s="5"/>
      <c r="S240" s="5"/>
      <c r="T240" s="5"/>
      <c r="U240" s="5"/>
      <c r="V240" s="5"/>
      <c r="W240" s="5"/>
    </row>
    <row r="241" spans="1:23" ht="16" x14ac:dyDescent="0.2">
      <c r="A241" s="5"/>
      <c r="B241" s="6"/>
      <c r="C241" s="6"/>
      <c r="D241" s="6"/>
      <c r="E241" s="6"/>
      <c r="F241" s="5"/>
      <c r="G241" s="5"/>
      <c r="H241" s="5"/>
      <c r="I241" s="5"/>
      <c r="J241" s="5"/>
      <c r="K241" s="5"/>
      <c r="L241" s="5"/>
      <c r="M241" s="5"/>
      <c r="N241" s="5"/>
      <c r="O241" s="5"/>
      <c r="P241" s="5"/>
      <c r="Q241" s="5"/>
      <c r="R241" s="5"/>
      <c r="S241" s="5"/>
      <c r="T241" s="5"/>
      <c r="U241" s="5"/>
      <c r="V241" s="5"/>
      <c r="W241" s="5"/>
    </row>
    <row r="242" spans="1:23" ht="16" x14ac:dyDescent="0.2">
      <c r="A242" s="5"/>
      <c r="B242" s="6"/>
      <c r="C242" s="6"/>
      <c r="D242" s="6"/>
      <c r="E242" s="6"/>
      <c r="F242" s="5"/>
      <c r="G242" s="5"/>
      <c r="H242" s="5"/>
      <c r="I242" s="5"/>
      <c r="J242" s="5"/>
      <c r="K242" s="5"/>
      <c r="L242" s="5"/>
      <c r="M242" s="5"/>
      <c r="N242" s="5"/>
      <c r="O242" s="5"/>
      <c r="P242" s="5"/>
      <c r="Q242" s="5"/>
      <c r="R242" s="5"/>
      <c r="S242" s="5"/>
      <c r="T242" s="5"/>
      <c r="U242" s="5"/>
      <c r="V242" s="5"/>
      <c r="W242" s="5"/>
    </row>
    <row r="243" spans="1:23" ht="16" x14ac:dyDescent="0.2">
      <c r="A243" s="5"/>
      <c r="B243" s="6"/>
      <c r="C243" s="6"/>
      <c r="D243" s="6"/>
      <c r="E243" s="6"/>
      <c r="F243" s="5"/>
      <c r="G243" s="5"/>
      <c r="H243" s="5"/>
      <c r="I243" s="5"/>
      <c r="J243" s="5"/>
      <c r="K243" s="5"/>
      <c r="L243" s="5"/>
      <c r="M243" s="5"/>
      <c r="N243" s="5"/>
      <c r="O243" s="5"/>
      <c r="P243" s="5"/>
      <c r="Q243" s="5"/>
      <c r="R243" s="5"/>
      <c r="S243" s="5"/>
      <c r="T243" s="5"/>
      <c r="U243" s="5"/>
      <c r="V243" s="5"/>
      <c r="W243" s="5"/>
    </row>
    <row r="244" spans="1:23" ht="16" x14ac:dyDescent="0.2">
      <c r="A244" s="5"/>
      <c r="B244" s="6"/>
      <c r="C244" s="6"/>
      <c r="D244" s="6"/>
      <c r="E244" s="6"/>
      <c r="F244" s="5"/>
      <c r="G244" s="5"/>
      <c r="H244" s="5"/>
      <c r="I244" s="5"/>
      <c r="J244" s="5"/>
      <c r="K244" s="5"/>
      <c r="L244" s="5"/>
      <c r="M244" s="5"/>
      <c r="N244" s="5"/>
      <c r="O244" s="5"/>
      <c r="P244" s="5"/>
      <c r="Q244" s="5"/>
      <c r="R244" s="5"/>
      <c r="S244" s="5"/>
      <c r="T244" s="5"/>
      <c r="U244" s="5"/>
      <c r="V244" s="5"/>
      <c r="W244" s="5"/>
    </row>
    <row r="245" spans="1:23" ht="16" x14ac:dyDescent="0.2">
      <c r="A245" s="5"/>
      <c r="B245" s="6"/>
      <c r="C245" s="6"/>
      <c r="D245" s="6"/>
      <c r="E245" s="6"/>
      <c r="F245" s="5"/>
      <c r="G245" s="5"/>
      <c r="H245" s="5"/>
      <c r="I245" s="5"/>
      <c r="J245" s="5"/>
      <c r="K245" s="5"/>
      <c r="L245" s="5"/>
      <c r="M245" s="5"/>
      <c r="N245" s="5"/>
      <c r="O245" s="5"/>
      <c r="P245" s="5"/>
      <c r="Q245" s="5"/>
      <c r="R245" s="5"/>
      <c r="S245" s="5"/>
      <c r="T245" s="5"/>
      <c r="U245" s="5"/>
      <c r="V245" s="5"/>
      <c r="W245" s="5"/>
    </row>
    <row r="246" spans="1:23" ht="16" x14ac:dyDescent="0.2">
      <c r="A246" s="5"/>
      <c r="B246" s="6"/>
      <c r="C246" s="6"/>
      <c r="D246" s="6"/>
      <c r="E246" s="6"/>
      <c r="F246" s="5"/>
      <c r="G246" s="5"/>
      <c r="H246" s="5"/>
      <c r="I246" s="5"/>
      <c r="J246" s="5"/>
      <c r="K246" s="5"/>
      <c r="L246" s="5"/>
      <c r="M246" s="5"/>
      <c r="N246" s="5"/>
      <c r="O246" s="5"/>
      <c r="P246" s="5"/>
      <c r="Q246" s="5"/>
      <c r="R246" s="5"/>
      <c r="S246" s="5"/>
      <c r="T246" s="5"/>
      <c r="U246" s="5"/>
      <c r="V246" s="5"/>
      <c r="W246" s="5"/>
    </row>
    <row r="247" spans="1:23" ht="16" x14ac:dyDescent="0.2">
      <c r="A247" s="5"/>
      <c r="B247" s="6"/>
      <c r="C247" s="6"/>
      <c r="D247" s="6"/>
      <c r="E247" s="6"/>
      <c r="F247" s="5"/>
      <c r="G247" s="5"/>
      <c r="H247" s="5"/>
      <c r="I247" s="5"/>
      <c r="J247" s="5"/>
      <c r="K247" s="5"/>
      <c r="L247" s="5"/>
      <c r="M247" s="5"/>
      <c r="N247" s="5"/>
      <c r="O247" s="5"/>
      <c r="P247" s="5"/>
      <c r="Q247" s="5"/>
      <c r="R247" s="5"/>
      <c r="S247" s="5"/>
      <c r="T247" s="5"/>
      <c r="U247" s="5"/>
      <c r="V247" s="5"/>
      <c r="W247" s="5"/>
    </row>
    <row r="248" spans="1:23" ht="16" x14ac:dyDescent="0.2">
      <c r="A248" s="5"/>
      <c r="B248" s="6"/>
      <c r="C248" s="6"/>
      <c r="D248" s="6"/>
      <c r="E248" s="6"/>
      <c r="F248" s="5"/>
      <c r="G248" s="5"/>
      <c r="H248" s="5"/>
      <c r="I248" s="5"/>
      <c r="J248" s="5"/>
      <c r="K248" s="5"/>
      <c r="L248" s="5"/>
      <c r="M248" s="5"/>
      <c r="N248" s="5"/>
      <c r="O248" s="5"/>
      <c r="P248" s="5"/>
      <c r="Q248" s="5"/>
      <c r="R248" s="5"/>
      <c r="S248" s="5"/>
      <c r="T248" s="5"/>
      <c r="U248" s="5"/>
      <c r="V248" s="5"/>
      <c r="W248" s="5"/>
    </row>
    <row r="249" spans="1:23" ht="16" x14ac:dyDescent="0.2">
      <c r="A249" s="5"/>
      <c r="B249" s="6"/>
      <c r="C249" s="6"/>
      <c r="D249" s="6"/>
      <c r="E249" s="6"/>
      <c r="F249" s="5"/>
      <c r="G249" s="5"/>
      <c r="H249" s="5"/>
      <c r="I249" s="5"/>
      <c r="J249" s="5"/>
      <c r="K249" s="5"/>
      <c r="L249" s="5"/>
      <c r="M249" s="5"/>
      <c r="N249" s="5"/>
      <c r="O249" s="5"/>
      <c r="P249" s="5"/>
      <c r="Q249" s="5"/>
      <c r="R249" s="5"/>
      <c r="S249" s="5"/>
      <c r="T249" s="5"/>
      <c r="U249" s="5"/>
      <c r="V249" s="5"/>
      <c r="W249" s="5"/>
    </row>
    <row r="250" spans="1:23" ht="16" x14ac:dyDescent="0.2">
      <c r="A250" s="5"/>
      <c r="B250" s="6"/>
      <c r="C250" s="6"/>
      <c r="D250" s="6"/>
      <c r="E250" s="6"/>
      <c r="F250" s="5"/>
      <c r="G250" s="5"/>
      <c r="H250" s="5"/>
      <c r="I250" s="5"/>
      <c r="J250" s="5"/>
      <c r="K250" s="5"/>
      <c r="L250" s="5"/>
      <c r="M250" s="5"/>
      <c r="N250" s="5"/>
      <c r="O250" s="5"/>
      <c r="P250" s="5"/>
      <c r="Q250" s="5"/>
      <c r="R250" s="5"/>
      <c r="S250" s="5"/>
      <c r="T250" s="5"/>
      <c r="U250" s="5"/>
      <c r="V250" s="5"/>
      <c r="W250" s="5"/>
    </row>
    <row r="251" spans="1:23" ht="16" x14ac:dyDescent="0.2">
      <c r="A251" s="5"/>
      <c r="B251" s="6"/>
      <c r="C251" s="6"/>
      <c r="D251" s="6"/>
      <c r="E251" s="6"/>
      <c r="F251" s="5"/>
      <c r="G251" s="5"/>
      <c r="H251" s="5"/>
      <c r="I251" s="5"/>
      <c r="J251" s="5"/>
      <c r="K251" s="5"/>
      <c r="L251" s="5"/>
      <c r="M251" s="5"/>
      <c r="N251" s="5"/>
      <c r="O251" s="5"/>
      <c r="P251" s="5"/>
      <c r="Q251" s="5"/>
      <c r="R251" s="5"/>
      <c r="S251" s="5"/>
      <c r="T251" s="5"/>
      <c r="U251" s="5"/>
      <c r="V251" s="5"/>
      <c r="W251" s="5"/>
    </row>
    <row r="252" spans="1:23" ht="16" x14ac:dyDescent="0.2">
      <c r="A252" s="5"/>
      <c r="B252" s="6"/>
      <c r="C252" s="6"/>
      <c r="D252" s="6"/>
      <c r="E252" s="6"/>
      <c r="F252" s="5"/>
      <c r="G252" s="5"/>
      <c r="H252" s="5"/>
      <c r="I252" s="5"/>
      <c r="J252" s="5"/>
      <c r="K252" s="5"/>
      <c r="L252" s="5"/>
      <c r="M252" s="5"/>
      <c r="N252" s="5"/>
      <c r="O252" s="5"/>
      <c r="P252" s="5"/>
      <c r="Q252" s="5"/>
      <c r="R252" s="5"/>
      <c r="S252" s="5"/>
      <c r="T252" s="5"/>
      <c r="U252" s="5"/>
      <c r="V252" s="5"/>
      <c r="W252" s="5"/>
    </row>
    <row r="253" spans="1:23" ht="16" x14ac:dyDescent="0.2">
      <c r="A253" s="5"/>
      <c r="B253" s="6"/>
      <c r="C253" s="6"/>
      <c r="D253" s="6"/>
      <c r="E253" s="6"/>
      <c r="F253" s="5"/>
      <c r="G253" s="5"/>
      <c r="H253" s="5"/>
      <c r="I253" s="5"/>
      <c r="J253" s="5"/>
      <c r="K253" s="5"/>
      <c r="L253" s="5"/>
      <c r="M253" s="5"/>
      <c r="N253" s="5"/>
      <c r="O253" s="5"/>
      <c r="P253" s="5"/>
      <c r="Q253" s="5"/>
      <c r="R253" s="5"/>
      <c r="S253" s="5"/>
      <c r="T253" s="5"/>
      <c r="U253" s="5"/>
      <c r="V253" s="5"/>
      <c r="W253" s="5"/>
    </row>
    <row r="254" spans="1:23" ht="16" x14ac:dyDescent="0.2">
      <c r="A254" s="5"/>
      <c r="B254" s="6"/>
      <c r="C254" s="6"/>
      <c r="D254" s="6"/>
      <c r="E254" s="6"/>
      <c r="F254" s="5"/>
      <c r="G254" s="5"/>
      <c r="H254" s="5"/>
      <c r="I254" s="5"/>
      <c r="J254" s="5"/>
      <c r="K254" s="5"/>
      <c r="L254" s="5"/>
      <c r="M254" s="5"/>
      <c r="N254" s="5"/>
      <c r="O254" s="5"/>
      <c r="P254" s="5"/>
      <c r="Q254" s="5"/>
      <c r="R254" s="5"/>
      <c r="S254" s="5"/>
      <c r="T254" s="5"/>
      <c r="U254" s="5"/>
      <c r="V254" s="5"/>
      <c r="W254" s="5"/>
    </row>
    <row r="255" spans="1:23" ht="16" x14ac:dyDescent="0.2">
      <c r="A255" s="5"/>
      <c r="B255" s="6"/>
      <c r="C255" s="6"/>
      <c r="D255" s="6"/>
      <c r="E255" s="6"/>
      <c r="F255" s="5"/>
      <c r="G255" s="5"/>
      <c r="H255" s="5"/>
      <c r="I255" s="5"/>
      <c r="J255" s="5"/>
      <c r="K255" s="5"/>
      <c r="L255" s="5"/>
      <c r="M255" s="5"/>
      <c r="N255" s="5"/>
      <c r="O255" s="5"/>
      <c r="P255" s="5"/>
      <c r="Q255" s="5"/>
      <c r="R255" s="5"/>
      <c r="S255" s="5"/>
      <c r="T255" s="5"/>
      <c r="U255" s="5"/>
      <c r="V255" s="5"/>
      <c r="W255" s="5"/>
    </row>
    <row r="256" spans="1:23" ht="16" x14ac:dyDescent="0.2">
      <c r="A256" s="5"/>
      <c r="B256" s="6"/>
      <c r="C256" s="6"/>
      <c r="D256" s="6"/>
      <c r="E256" s="6"/>
      <c r="F256" s="5"/>
      <c r="G256" s="5"/>
      <c r="H256" s="5"/>
      <c r="I256" s="5"/>
      <c r="J256" s="5"/>
      <c r="K256" s="5"/>
      <c r="L256" s="5"/>
      <c r="M256" s="5"/>
      <c r="N256" s="5"/>
      <c r="O256" s="5"/>
      <c r="P256" s="5"/>
      <c r="Q256" s="5"/>
      <c r="R256" s="5"/>
      <c r="S256" s="5"/>
      <c r="T256" s="5"/>
      <c r="U256" s="5"/>
      <c r="V256" s="5"/>
      <c r="W256" s="5"/>
    </row>
    <row r="257" spans="1:23" ht="16" x14ac:dyDescent="0.2">
      <c r="A257" s="5"/>
      <c r="B257" s="6"/>
      <c r="C257" s="6"/>
      <c r="D257" s="6"/>
      <c r="E257" s="6"/>
      <c r="F257" s="5"/>
      <c r="G257" s="5"/>
      <c r="H257" s="5"/>
      <c r="I257" s="5"/>
      <c r="J257" s="5"/>
      <c r="K257" s="5"/>
      <c r="L257" s="5"/>
      <c r="M257" s="5"/>
      <c r="N257" s="5"/>
      <c r="O257" s="5"/>
      <c r="P257" s="5"/>
      <c r="Q257" s="5"/>
      <c r="R257" s="5"/>
      <c r="S257" s="5"/>
      <c r="T257" s="5"/>
      <c r="U257" s="5"/>
      <c r="V257" s="5"/>
      <c r="W257" s="5"/>
    </row>
    <row r="258" spans="1:23" ht="16" x14ac:dyDescent="0.2">
      <c r="A258" s="5"/>
      <c r="B258" s="6"/>
      <c r="C258" s="6"/>
      <c r="D258" s="6"/>
      <c r="E258" s="6"/>
      <c r="F258" s="5"/>
      <c r="G258" s="5"/>
      <c r="H258" s="5"/>
      <c r="I258" s="5"/>
      <c r="J258" s="5"/>
      <c r="K258" s="5"/>
      <c r="L258" s="5"/>
      <c r="M258" s="5"/>
      <c r="N258" s="5"/>
      <c r="O258" s="5"/>
      <c r="P258" s="5"/>
      <c r="Q258" s="5"/>
      <c r="R258" s="5"/>
      <c r="S258" s="5"/>
      <c r="T258" s="5"/>
      <c r="U258" s="5"/>
      <c r="V258" s="5"/>
      <c r="W258" s="5"/>
    </row>
    <row r="259" spans="1:23" ht="16" x14ac:dyDescent="0.2">
      <c r="A259" s="5"/>
      <c r="B259" s="6"/>
      <c r="C259" s="6"/>
      <c r="D259" s="6"/>
      <c r="E259" s="6"/>
      <c r="F259" s="5"/>
      <c r="G259" s="5"/>
      <c r="H259" s="5"/>
      <c r="I259" s="5"/>
      <c r="J259" s="5"/>
      <c r="K259" s="5"/>
      <c r="L259" s="5"/>
      <c r="M259" s="5"/>
      <c r="N259" s="5"/>
      <c r="O259" s="5"/>
      <c r="P259" s="5"/>
      <c r="Q259" s="5"/>
      <c r="R259" s="5"/>
      <c r="S259" s="5"/>
      <c r="T259" s="5"/>
      <c r="U259" s="5"/>
      <c r="V259" s="5"/>
      <c r="W259" s="5"/>
    </row>
    <row r="260" spans="1:23" ht="16" x14ac:dyDescent="0.2">
      <c r="A260" s="5"/>
      <c r="B260" s="6"/>
      <c r="C260" s="6"/>
      <c r="D260" s="6"/>
      <c r="E260" s="6"/>
      <c r="F260" s="5"/>
      <c r="G260" s="5"/>
      <c r="H260" s="5"/>
      <c r="I260" s="5"/>
      <c r="J260" s="5"/>
      <c r="K260" s="5"/>
      <c r="L260" s="5"/>
      <c r="M260" s="5"/>
      <c r="N260" s="5"/>
      <c r="O260" s="5"/>
      <c r="P260" s="5"/>
      <c r="Q260" s="5"/>
      <c r="R260" s="5"/>
      <c r="S260" s="5"/>
      <c r="T260" s="5"/>
      <c r="U260" s="5"/>
      <c r="V260" s="5"/>
      <c r="W260" s="5"/>
    </row>
    <row r="261" spans="1:23" ht="16" x14ac:dyDescent="0.2">
      <c r="A261" s="5"/>
      <c r="B261" s="6"/>
      <c r="C261" s="6"/>
      <c r="D261" s="6"/>
      <c r="E261" s="6"/>
      <c r="F261" s="5"/>
      <c r="G261" s="5"/>
      <c r="H261" s="5"/>
      <c r="I261" s="5"/>
      <c r="J261" s="5"/>
      <c r="K261" s="5"/>
      <c r="L261" s="5"/>
      <c r="M261" s="5"/>
      <c r="N261" s="5"/>
      <c r="O261" s="5"/>
      <c r="P261" s="5"/>
      <c r="Q261" s="5"/>
      <c r="R261" s="5"/>
      <c r="S261" s="5"/>
      <c r="T261" s="5"/>
      <c r="U261" s="5"/>
      <c r="V261" s="5"/>
      <c r="W261" s="5"/>
    </row>
    <row r="262" spans="1:23" ht="16" x14ac:dyDescent="0.2">
      <c r="A262" s="5"/>
      <c r="B262" s="6"/>
      <c r="C262" s="6"/>
      <c r="D262" s="6"/>
      <c r="E262" s="6"/>
      <c r="F262" s="5"/>
      <c r="G262" s="5"/>
      <c r="H262" s="5"/>
      <c r="I262" s="5"/>
      <c r="J262" s="5"/>
      <c r="K262" s="5"/>
      <c r="L262" s="5"/>
      <c r="M262" s="5"/>
      <c r="N262" s="5"/>
      <c r="O262" s="5"/>
      <c r="P262" s="5"/>
      <c r="Q262" s="5"/>
      <c r="R262" s="5"/>
      <c r="S262" s="5"/>
      <c r="T262" s="5"/>
      <c r="U262" s="5"/>
      <c r="V262" s="5"/>
      <c r="W262" s="5"/>
    </row>
    <row r="263" spans="1:23" ht="16" x14ac:dyDescent="0.2">
      <c r="A263" s="5"/>
      <c r="B263" s="6"/>
      <c r="C263" s="6"/>
      <c r="D263" s="6"/>
      <c r="E263" s="6"/>
      <c r="F263" s="5"/>
      <c r="G263" s="5"/>
      <c r="H263" s="5"/>
      <c r="I263" s="5"/>
      <c r="J263" s="5"/>
      <c r="K263" s="5"/>
      <c r="L263" s="5"/>
      <c r="M263" s="5"/>
      <c r="N263" s="5"/>
      <c r="O263" s="5"/>
      <c r="P263" s="5"/>
      <c r="Q263" s="5"/>
      <c r="R263" s="5"/>
      <c r="S263" s="5"/>
      <c r="T263" s="5"/>
      <c r="U263" s="5"/>
      <c r="V263" s="5"/>
      <c r="W263" s="5"/>
    </row>
    <row r="264" spans="1:23" ht="16" x14ac:dyDescent="0.2">
      <c r="A264" s="5"/>
      <c r="B264" s="6"/>
      <c r="C264" s="6"/>
      <c r="D264" s="6"/>
      <c r="E264" s="6"/>
      <c r="F264" s="5"/>
      <c r="G264" s="5"/>
      <c r="H264" s="5"/>
      <c r="I264" s="5"/>
      <c r="J264" s="5"/>
      <c r="K264" s="5"/>
      <c r="L264" s="5"/>
      <c r="M264" s="5"/>
      <c r="N264" s="5"/>
      <c r="O264" s="5"/>
      <c r="P264" s="5"/>
      <c r="Q264" s="5"/>
      <c r="R264" s="5"/>
      <c r="S264" s="5"/>
      <c r="T264" s="5"/>
      <c r="U264" s="5"/>
      <c r="V264" s="5"/>
      <c r="W264" s="5"/>
    </row>
    <row r="265" spans="1:23" ht="16" x14ac:dyDescent="0.2">
      <c r="A265" s="5"/>
      <c r="B265" s="6"/>
      <c r="C265" s="6"/>
      <c r="D265" s="6"/>
      <c r="E265" s="6"/>
      <c r="F265" s="5"/>
      <c r="G265" s="5"/>
      <c r="H265" s="5"/>
      <c r="I265" s="5"/>
      <c r="J265" s="5"/>
      <c r="K265" s="5"/>
      <c r="L265" s="5"/>
      <c r="M265" s="5"/>
      <c r="N265" s="5"/>
      <c r="O265" s="5"/>
      <c r="P265" s="5"/>
      <c r="Q265" s="5"/>
      <c r="R265" s="5"/>
      <c r="S265" s="5"/>
      <c r="T265" s="5"/>
      <c r="U265" s="5"/>
      <c r="V265" s="5"/>
      <c r="W265" s="5"/>
    </row>
    <row r="266" spans="1:23" ht="16" x14ac:dyDescent="0.2">
      <c r="A266" s="5"/>
      <c r="B266" s="6"/>
      <c r="C266" s="6"/>
      <c r="D266" s="6"/>
      <c r="E266" s="6"/>
      <c r="F266" s="5"/>
      <c r="G266" s="5"/>
      <c r="H266" s="5"/>
      <c r="I266" s="5"/>
      <c r="J266" s="5"/>
      <c r="K266" s="5"/>
      <c r="L266" s="5"/>
      <c r="M266" s="5"/>
      <c r="N266" s="5"/>
      <c r="O266" s="5"/>
      <c r="P266" s="5"/>
      <c r="Q266" s="5"/>
      <c r="R266" s="5"/>
      <c r="S266" s="5"/>
      <c r="T266" s="5"/>
      <c r="U266" s="5"/>
      <c r="V266" s="5"/>
      <c r="W266" s="5"/>
    </row>
    <row r="267" spans="1:23" ht="16" x14ac:dyDescent="0.2">
      <c r="A267" s="5"/>
      <c r="B267" s="6"/>
      <c r="C267" s="6"/>
      <c r="D267" s="6"/>
      <c r="E267" s="6"/>
      <c r="F267" s="5"/>
      <c r="G267" s="5"/>
      <c r="H267" s="5"/>
      <c r="I267" s="5"/>
      <c r="J267" s="5"/>
      <c r="K267" s="5"/>
      <c r="L267" s="5"/>
      <c r="M267" s="5"/>
      <c r="N267" s="5"/>
      <c r="O267" s="5"/>
      <c r="P267" s="5"/>
      <c r="Q267" s="5"/>
      <c r="R267" s="5"/>
      <c r="S267" s="5"/>
      <c r="T267" s="5"/>
      <c r="U267" s="5"/>
      <c r="V267" s="5"/>
      <c r="W267" s="5"/>
    </row>
    <row r="268" spans="1:23" ht="16" x14ac:dyDescent="0.2">
      <c r="A268" s="5"/>
      <c r="B268" s="6"/>
      <c r="C268" s="6"/>
      <c r="D268" s="6"/>
      <c r="E268" s="6"/>
      <c r="F268" s="5"/>
      <c r="G268" s="5"/>
      <c r="H268" s="5"/>
      <c r="I268" s="5"/>
      <c r="J268" s="5"/>
      <c r="K268" s="5"/>
      <c r="L268" s="5"/>
      <c r="M268" s="5"/>
      <c r="N268" s="5"/>
      <c r="O268" s="5"/>
      <c r="P268" s="5"/>
      <c r="Q268" s="5"/>
      <c r="R268" s="5"/>
      <c r="S268" s="5"/>
      <c r="T268" s="5"/>
      <c r="U268" s="5"/>
      <c r="V268" s="5"/>
      <c r="W268" s="5"/>
    </row>
    <row r="269" spans="1:23" ht="16" x14ac:dyDescent="0.2">
      <c r="A269" s="5"/>
      <c r="B269" s="6"/>
      <c r="C269" s="6"/>
      <c r="D269" s="6"/>
      <c r="E269" s="6"/>
      <c r="F269" s="5"/>
      <c r="G269" s="5"/>
      <c r="H269" s="5"/>
      <c r="I269" s="5"/>
      <c r="J269" s="5"/>
      <c r="K269" s="5"/>
      <c r="L269" s="5"/>
      <c r="M269" s="5"/>
      <c r="N269" s="5"/>
      <c r="O269" s="5"/>
      <c r="P269" s="5"/>
      <c r="Q269" s="5"/>
      <c r="R269" s="5"/>
      <c r="S269" s="5"/>
      <c r="T269" s="5"/>
      <c r="U269" s="5"/>
      <c r="V269" s="5"/>
      <c r="W269" s="5"/>
    </row>
    <row r="270" spans="1:23" ht="16" x14ac:dyDescent="0.2">
      <c r="A270" s="5"/>
      <c r="B270" s="6"/>
      <c r="C270" s="6"/>
      <c r="D270" s="6"/>
      <c r="E270" s="6"/>
      <c r="F270" s="5"/>
      <c r="G270" s="5"/>
      <c r="H270" s="5"/>
      <c r="I270" s="5"/>
      <c r="J270" s="5"/>
      <c r="K270" s="5"/>
      <c r="L270" s="5"/>
      <c r="M270" s="5"/>
      <c r="N270" s="5"/>
      <c r="O270" s="5"/>
      <c r="P270" s="5"/>
      <c r="Q270" s="5"/>
      <c r="R270" s="5"/>
      <c r="S270" s="5"/>
      <c r="T270" s="5"/>
      <c r="U270" s="5"/>
      <c r="V270" s="5"/>
      <c r="W270" s="5"/>
    </row>
    <row r="271" spans="1:23" ht="16" x14ac:dyDescent="0.2">
      <c r="A271" s="5"/>
      <c r="B271" s="6"/>
      <c r="C271" s="6"/>
      <c r="D271" s="6"/>
      <c r="E271" s="6"/>
      <c r="F271" s="5"/>
      <c r="G271" s="5"/>
      <c r="H271" s="5"/>
      <c r="I271" s="5"/>
      <c r="J271" s="5"/>
      <c r="K271" s="5"/>
      <c r="L271" s="5"/>
      <c r="M271" s="5"/>
      <c r="N271" s="5"/>
      <c r="O271" s="5"/>
      <c r="P271" s="5"/>
      <c r="Q271" s="5"/>
      <c r="R271" s="5"/>
      <c r="S271" s="5"/>
      <c r="T271" s="5"/>
      <c r="U271" s="5"/>
      <c r="V271" s="5"/>
      <c r="W271" s="5"/>
    </row>
    <row r="272" spans="1:23" ht="16" x14ac:dyDescent="0.2">
      <c r="A272" s="5"/>
      <c r="B272" s="6"/>
      <c r="C272" s="6"/>
      <c r="D272" s="6"/>
      <c r="E272" s="6"/>
      <c r="F272" s="5"/>
      <c r="G272" s="5"/>
      <c r="H272" s="5"/>
      <c r="I272" s="5"/>
      <c r="J272" s="5"/>
      <c r="K272" s="5"/>
      <c r="L272" s="5"/>
      <c r="M272" s="5"/>
      <c r="N272" s="5"/>
      <c r="O272" s="5"/>
      <c r="P272" s="5"/>
      <c r="Q272" s="5"/>
      <c r="R272" s="5"/>
      <c r="S272" s="5"/>
      <c r="T272" s="5"/>
      <c r="U272" s="5"/>
      <c r="V272" s="5"/>
      <c r="W272" s="5"/>
    </row>
    <row r="273" spans="1:23" ht="16" x14ac:dyDescent="0.2">
      <c r="A273" s="5"/>
      <c r="B273" s="6"/>
      <c r="C273" s="6"/>
      <c r="D273" s="6"/>
      <c r="E273" s="6"/>
      <c r="F273" s="5"/>
      <c r="G273" s="5"/>
      <c r="H273" s="5"/>
      <c r="I273" s="5"/>
      <c r="J273" s="5"/>
      <c r="K273" s="5"/>
      <c r="L273" s="5"/>
      <c r="M273" s="5"/>
      <c r="N273" s="5"/>
      <c r="O273" s="5"/>
      <c r="P273" s="5"/>
      <c r="Q273" s="5"/>
      <c r="R273" s="5"/>
      <c r="S273" s="5"/>
      <c r="T273" s="5"/>
      <c r="U273" s="5"/>
      <c r="V273" s="5"/>
      <c r="W273" s="5"/>
    </row>
    <row r="274" spans="1:23" ht="16" x14ac:dyDescent="0.2">
      <c r="A274" s="5"/>
      <c r="B274" s="6"/>
      <c r="C274" s="6"/>
      <c r="D274" s="6"/>
      <c r="E274" s="6"/>
      <c r="F274" s="5"/>
      <c r="G274" s="5"/>
      <c r="H274" s="5"/>
      <c r="I274" s="5"/>
      <c r="J274" s="5"/>
      <c r="K274" s="5"/>
      <c r="L274" s="5"/>
      <c r="M274" s="5"/>
      <c r="N274" s="5"/>
      <c r="O274" s="5"/>
      <c r="P274" s="5"/>
      <c r="Q274" s="5"/>
      <c r="R274" s="5"/>
      <c r="S274" s="5"/>
      <c r="T274" s="5"/>
      <c r="U274" s="5"/>
      <c r="V274" s="5"/>
      <c r="W274" s="5"/>
    </row>
    <row r="275" spans="1:23" ht="16" x14ac:dyDescent="0.2">
      <c r="A275" s="5"/>
      <c r="B275" s="6"/>
      <c r="C275" s="6"/>
      <c r="D275" s="6"/>
      <c r="E275" s="6"/>
      <c r="F275" s="5"/>
      <c r="G275" s="5"/>
      <c r="H275" s="5"/>
      <c r="I275" s="5"/>
      <c r="J275" s="5"/>
      <c r="K275" s="5"/>
      <c r="L275" s="5"/>
      <c r="M275" s="5"/>
      <c r="N275" s="5"/>
      <c r="O275" s="5"/>
      <c r="P275" s="5"/>
      <c r="Q275" s="5"/>
      <c r="R275" s="5"/>
      <c r="S275" s="5"/>
      <c r="T275" s="5"/>
      <c r="U275" s="5"/>
      <c r="V275" s="5"/>
      <c r="W275" s="5"/>
    </row>
    <row r="276" spans="1:23" ht="16" x14ac:dyDescent="0.2">
      <c r="A276" s="5"/>
      <c r="B276" s="6"/>
      <c r="C276" s="6"/>
      <c r="D276" s="6"/>
      <c r="E276" s="6"/>
      <c r="F276" s="5"/>
      <c r="G276" s="5"/>
      <c r="H276" s="5"/>
      <c r="I276" s="5"/>
      <c r="J276" s="5"/>
      <c r="K276" s="5"/>
      <c r="L276" s="5"/>
      <c r="M276" s="5"/>
      <c r="N276" s="5"/>
      <c r="O276" s="5"/>
      <c r="P276" s="5"/>
      <c r="Q276" s="5"/>
      <c r="R276" s="5"/>
      <c r="S276" s="5"/>
      <c r="T276" s="5"/>
      <c r="U276" s="5"/>
      <c r="V276" s="5"/>
      <c r="W276" s="5"/>
    </row>
    <row r="277" spans="1:23" ht="16" x14ac:dyDescent="0.2">
      <c r="A277" s="5"/>
      <c r="B277" s="6"/>
      <c r="C277" s="6"/>
      <c r="D277" s="6"/>
      <c r="E277" s="6"/>
      <c r="F277" s="5"/>
      <c r="G277" s="5"/>
      <c r="H277" s="5"/>
      <c r="I277" s="5"/>
      <c r="J277" s="5"/>
      <c r="K277" s="5"/>
      <c r="L277" s="5"/>
      <c r="M277" s="5"/>
      <c r="N277" s="5"/>
      <c r="O277" s="5"/>
      <c r="P277" s="5"/>
      <c r="Q277" s="5"/>
      <c r="R277" s="5"/>
      <c r="S277" s="5"/>
      <c r="T277" s="5"/>
      <c r="U277" s="5"/>
      <c r="V277" s="5"/>
      <c r="W277" s="5"/>
    </row>
    <row r="278" spans="1:23" ht="16" x14ac:dyDescent="0.2">
      <c r="A278" s="5"/>
      <c r="B278" s="6"/>
      <c r="C278" s="6"/>
      <c r="D278" s="6"/>
      <c r="E278" s="6"/>
      <c r="F278" s="5"/>
      <c r="G278" s="5"/>
      <c r="H278" s="5"/>
      <c r="I278" s="5"/>
      <c r="J278" s="5"/>
      <c r="K278" s="5"/>
      <c r="L278" s="5"/>
      <c r="M278" s="5"/>
      <c r="N278" s="5"/>
      <c r="O278" s="5"/>
      <c r="P278" s="5"/>
      <c r="Q278" s="5"/>
      <c r="R278" s="5"/>
      <c r="S278" s="5"/>
      <c r="T278" s="5"/>
      <c r="U278" s="5"/>
      <c r="V278" s="5"/>
      <c r="W278" s="5"/>
    </row>
    <row r="279" spans="1:23" ht="16" x14ac:dyDescent="0.2">
      <c r="A279" s="5"/>
      <c r="B279" s="6"/>
      <c r="C279" s="6"/>
      <c r="D279" s="6"/>
      <c r="E279" s="6"/>
      <c r="F279" s="5"/>
      <c r="G279" s="5"/>
      <c r="H279" s="5"/>
      <c r="I279" s="5"/>
      <c r="J279" s="5"/>
      <c r="K279" s="5"/>
      <c r="L279" s="5"/>
      <c r="M279" s="5"/>
      <c r="N279" s="5"/>
      <c r="O279" s="5"/>
      <c r="P279" s="5"/>
      <c r="Q279" s="5"/>
      <c r="R279" s="5"/>
      <c r="S279" s="5"/>
      <c r="T279" s="5"/>
      <c r="U279" s="5"/>
      <c r="V279" s="5"/>
      <c r="W279" s="5"/>
    </row>
    <row r="280" spans="1:23" ht="16" x14ac:dyDescent="0.2">
      <c r="A280" s="5"/>
      <c r="B280" s="6"/>
      <c r="C280" s="6"/>
      <c r="D280" s="6"/>
      <c r="E280" s="6"/>
      <c r="F280" s="5"/>
      <c r="G280" s="5"/>
      <c r="H280" s="5"/>
      <c r="I280" s="5"/>
      <c r="J280" s="5"/>
      <c r="K280" s="5"/>
      <c r="L280" s="5"/>
      <c r="M280" s="5"/>
      <c r="N280" s="5"/>
      <c r="O280" s="5"/>
      <c r="P280" s="5"/>
      <c r="Q280" s="5"/>
      <c r="R280" s="5"/>
      <c r="S280" s="5"/>
      <c r="T280" s="5"/>
      <c r="U280" s="5"/>
      <c r="V280" s="5"/>
      <c r="W280" s="5"/>
    </row>
    <row r="281" spans="1:23" ht="16" x14ac:dyDescent="0.2">
      <c r="A281" s="5"/>
      <c r="B281" s="6"/>
      <c r="C281" s="6"/>
      <c r="D281" s="6"/>
      <c r="E281" s="6"/>
      <c r="F281" s="5"/>
      <c r="G281" s="5"/>
      <c r="H281" s="5"/>
      <c r="I281" s="5"/>
      <c r="J281" s="5"/>
      <c r="K281" s="5"/>
      <c r="L281" s="5"/>
      <c r="M281" s="5"/>
      <c r="N281" s="5"/>
      <c r="O281" s="5"/>
      <c r="P281" s="5"/>
      <c r="Q281" s="5"/>
      <c r="R281" s="5"/>
      <c r="S281" s="5"/>
      <c r="T281" s="5"/>
      <c r="U281" s="5"/>
      <c r="V281" s="5"/>
      <c r="W281" s="5"/>
    </row>
    <row r="282" spans="1:23" ht="16" x14ac:dyDescent="0.2">
      <c r="A282" s="5"/>
      <c r="B282" s="6"/>
      <c r="C282" s="6"/>
      <c r="D282" s="6"/>
      <c r="E282" s="6"/>
      <c r="F282" s="5"/>
      <c r="G282" s="5"/>
      <c r="H282" s="5"/>
      <c r="I282" s="5"/>
      <c r="J282" s="5"/>
      <c r="K282" s="5"/>
      <c r="L282" s="5"/>
      <c r="M282" s="5"/>
      <c r="N282" s="5"/>
      <c r="O282" s="5"/>
      <c r="P282" s="5"/>
      <c r="Q282" s="5"/>
      <c r="R282" s="5"/>
      <c r="S282" s="5"/>
      <c r="T282" s="5"/>
      <c r="U282" s="5"/>
      <c r="V282" s="5"/>
      <c r="W282" s="5"/>
    </row>
    <row r="283" spans="1:23" ht="16" x14ac:dyDescent="0.2">
      <c r="A283" s="5"/>
      <c r="B283" s="6"/>
      <c r="C283" s="6"/>
      <c r="D283" s="6"/>
      <c r="E283" s="6"/>
      <c r="F283" s="5"/>
      <c r="G283" s="5"/>
      <c r="H283" s="5"/>
      <c r="I283" s="5"/>
      <c r="J283" s="5"/>
      <c r="K283" s="5"/>
      <c r="L283" s="5"/>
      <c r="M283" s="5"/>
      <c r="N283" s="5"/>
      <c r="O283" s="5"/>
      <c r="P283" s="5"/>
      <c r="Q283" s="5"/>
      <c r="R283" s="5"/>
      <c r="S283" s="5"/>
      <c r="T283" s="5"/>
      <c r="U283" s="5"/>
      <c r="V283" s="5"/>
      <c r="W283" s="5"/>
    </row>
    <row r="284" spans="1:23" ht="16" x14ac:dyDescent="0.2">
      <c r="A284" s="5"/>
      <c r="B284" s="6"/>
      <c r="C284" s="6"/>
      <c r="D284" s="6"/>
      <c r="E284" s="6"/>
      <c r="F284" s="5"/>
      <c r="G284" s="5"/>
      <c r="H284" s="5"/>
      <c r="I284" s="5"/>
      <c r="J284" s="5"/>
      <c r="K284" s="5"/>
      <c r="L284" s="5"/>
      <c r="M284" s="5"/>
      <c r="N284" s="5"/>
      <c r="O284" s="5"/>
      <c r="P284" s="5"/>
      <c r="Q284" s="5"/>
      <c r="R284" s="5"/>
      <c r="S284" s="5"/>
      <c r="T284" s="5"/>
      <c r="U284" s="5"/>
      <c r="V284" s="5"/>
      <c r="W284" s="5"/>
    </row>
    <row r="285" spans="1:23" ht="16" x14ac:dyDescent="0.2">
      <c r="A285" s="5"/>
      <c r="B285" s="6"/>
      <c r="C285" s="6"/>
      <c r="D285" s="6"/>
      <c r="E285" s="6"/>
      <c r="F285" s="5"/>
      <c r="G285" s="5"/>
      <c r="H285" s="5"/>
      <c r="I285" s="5"/>
      <c r="J285" s="5"/>
      <c r="K285" s="5"/>
      <c r="L285" s="5"/>
      <c r="M285" s="5"/>
      <c r="N285" s="5"/>
      <c r="O285" s="5"/>
      <c r="P285" s="5"/>
      <c r="Q285" s="5"/>
      <c r="R285" s="5"/>
      <c r="S285" s="5"/>
      <c r="T285" s="5"/>
      <c r="U285" s="5"/>
      <c r="V285" s="5"/>
      <c r="W285" s="5"/>
    </row>
    <row r="286" spans="1:23" ht="16" x14ac:dyDescent="0.2">
      <c r="A286" s="5"/>
      <c r="B286" s="6"/>
      <c r="C286" s="6"/>
      <c r="D286" s="6"/>
      <c r="E286" s="6"/>
      <c r="F286" s="5"/>
      <c r="G286" s="5"/>
      <c r="H286" s="5"/>
      <c r="I286" s="5"/>
      <c r="J286" s="5"/>
      <c r="K286" s="5"/>
      <c r="L286" s="5"/>
      <c r="M286" s="5"/>
      <c r="N286" s="5"/>
      <c r="O286" s="5"/>
      <c r="P286" s="5"/>
      <c r="Q286" s="5"/>
      <c r="R286" s="5"/>
      <c r="S286" s="5"/>
      <c r="T286" s="5"/>
      <c r="U286" s="5"/>
      <c r="V286" s="5"/>
      <c r="W286" s="5"/>
    </row>
    <row r="287" spans="1:23" ht="16" x14ac:dyDescent="0.2">
      <c r="A287" s="5"/>
      <c r="B287" s="6"/>
      <c r="C287" s="6"/>
      <c r="D287" s="6"/>
      <c r="E287" s="6"/>
      <c r="F287" s="5"/>
      <c r="G287" s="5"/>
      <c r="H287" s="5"/>
      <c r="I287" s="5"/>
      <c r="J287" s="5"/>
      <c r="K287" s="5"/>
      <c r="L287" s="5"/>
      <c r="M287" s="5"/>
      <c r="N287" s="5"/>
      <c r="O287" s="5"/>
      <c r="P287" s="5"/>
      <c r="Q287" s="5"/>
      <c r="R287" s="5"/>
      <c r="S287" s="5"/>
      <c r="T287" s="5"/>
      <c r="U287" s="5"/>
      <c r="V287" s="5"/>
      <c r="W287" s="5"/>
    </row>
    <row r="288" spans="1:23" ht="16" x14ac:dyDescent="0.2">
      <c r="A288" s="5"/>
      <c r="B288" s="6"/>
      <c r="C288" s="6"/>
      <c r="D288" s="6"/>
      <c r="E288" s="6"/>
      <c r="F288" s="5"/>
      <c r="G288" s="5"/>
      <c r="H288" s="5"/>
      <c r="I288" s="5"/>
      <c r="J288" s="5"/>
      <c r="K288" s="5"/>
      <c r="L288" s="5"/>
      <c r="M288" s="5"/>
      <c r="N288" s="5"/>
      <c r="O288" s="5"/>
      <c r="P288" s="5"/>
      <c r="Q288" s="5"/>
      <c r="R288" s="5"/>
      <c r="S288" s="5"/>
      <c r="T288" s="5"/>
      <c r="U288" s="5"/>
      <c r="V288" s="5"/>
      <c r="W288" s="5"/>
    </row>
    <row r="289" spans="1:23" ht="16" x14ac:dyDescent="0.2">
      <c r="A289" s="5"/>
      <c r="B289" s="6"/>
      <c r="C289" s="6"/>
      <c r="D289" s="6"/>
      <c r="E289" s="6"/>
      <c r="F289" s="5"/>
      <c r="G289" s="5"/>
      <c r="H289" s="5"/>
      <c r="I289" s="5"/>
      <c r="J289" s="5"/>
      <c r="K289" s="5"/>
      <c r="L289" s="5"/>
      <c r="M289" s="5"/>
      <c r="N289" s="5"/>
      <c r="O289" s="5"/>
      <c r="P289" s="5"/>
      <c r="Q289" s="5"/>
      <c r="R289" s="5"/>
      <c r="S289" s="5"/>
      <c r="T289" s="5"/>
      <c r="U289" s="5"/>
      <c r="V289" s="5"/>
      <c r="W289" s="5"/>
    </row>
    <row r="290" spans="1:23" ht="16" x14ac:dyDescent="0.2">
      <c r="A290" s="5"/>
      <c r="B290" s="6"/>
      <c r="C290" s="6"/>
      <c r="D290" s="6"/>
      <c r="E290" s="6"/>
      <c r="F290" s="5"/>
      <c r="G290" s="5"/>
      <c r="H290" s="5"/>
      <c r="I290" s="5"/>
      <c r="J290" s="5"/>
      <c r="K290" s="5"/>
      <c r="L290" s="5"/>
      <c r="M290" s="5"/>
      <c r="N290" s="5"/>
      <c r="O290" s="5"/>
      <c r="P290" s="5"/>
      <c r="Q290" s="5"/>
      <c r="R290" s="5"/>
      <c r="S290" s="5"/>
      <c r="T290" s="5"/>
      <c r="U290" s="5"/>
      <c r="V290" s="5"/>
      <c r="W290" s="5"/>
    </row>
    <row r="291" spans="1:23" ht="16" x14ac:dyDescent="0.2">
      <c r="A291" s="5"/>
      <c r="B291" s="6"/>
      <c r="C291" s="6"/>
      <c r="D291" s="6"/>
      <c r="E291" s="6"/>
      <c r="F291" s="5"/>
      <c r="G291" s="5"/>
      <c r="H291" s="5"/>
      <c r="I291" s="5"/>
      <c r="J291" s="5"/>
      <c r="K291" s="5"/>
      <c r="L291" s="5"/>
      <c r="M291" s="5"/>
      <c r="N291" s="5"/>
      <c r="O291" s="5"/>
      <c r="P291" s="5"/>
      <c r="Q291" s="5"/>
      <c r="R291" s="5"/>
      <c r="S291" s="5"/>
      <c r="T291" s="5"/>
      <c r="U291" s="5"/>
      <c r="V291" s="5"/>
      <c r="W291" s="5"/>
    </row>
    <row r="292" spans="1:23" ht="16" x14ac:dyDescent="0.2">
      <c r="A292" s="5"/>
      <c r="B292" s="6"/>
      <c r="C292" s="6"/>
      <c r="D292" s="6"/>
      <c r="E292" s="6"/>
      <c r="F292" s="5"/>
      <c r="G292" s="5"/>
      <c r="H292" s="5"/>
      <c r="I292" s="5"/>
      <c r="J292" s="5"/>
      <c r="K292" s="5"/>
      <c r="L292" s="5"/>
      <c r="M292" s="5"/>
      <c r="N292" s="5"/>
      <c r="O292" s="5"/>
      <c r="P292" s="5"/>
      <c r="Q292" s="5"/>
      <c r="R292" s="5"/>
      <c r="S292" s="5"/>
      <c r="T292" s="5"/>
      <c r="U292" s="5"/>
      <c r="V292" s="5"/>
      <c r="W292" s="5"/>
    </row>
    <row r="293" spans="1:23" ht="16" x14ac:dyDescent="0.2">
      <c r="A293" s="5"/>
      <c r="B293" s="6"/>
      <c r="C293" s="6"/>
      <c r="D293" s="6"/>
      <c r="E293" s="6"/>
      <c r="F293" s="5"/>
      <c r="G293" s="5"/>
      <c r="H293" s="5"/>
      <c r="I293" s="5"/>
      <c r="J293" s="5"/>
      <c r="K293" s="5"/>
      <c r="L293" s="5"/>
      <c r="M293" s="5"/>
      <c r="N293" s="5"/>
      <c r="O293" s="5"/>
      <c r="P293" s="5"/>
      <c r="Q293" s="5"/>
      <c r="R293" s="5"/>
      <c r="S293" s="5"/>
      <c r="T293" s="5"/>
      <c r="U293" s="5"/>
      <c r="V293" s="5"/>
      <c r="W293" s="5"/>
    </row>
    <row r="294" spans="1:23" ht="16" x14ac:dyDescent="0.2">
      <c r="A294" s="5"/>
      <c r="B294" s="6"/>
      <c r="C294" s="6"/>
      <c r="D294" s="6"/>
      <c r="E294" s="6"/>
      <c r="F294" s="5"/>
      <c r="G294" s="5"/>
      <c r="H294" s="5"/>
      <c r="I294" s="5"/>
      <c r="J294" s="5"/>
      <c r="K294" s="5"/>
      <c r="L294" s="5"/>
      <c r="M294" s="5"/>
      <c r="N294" s="5"/>
      <c r="O294" s="5"/>
      <c r="P294" s="5"/>
      <c r="Q294" s="5"/>
      <c r="R294" s="5"/>
      <c r="S294" s="5"/>
      <c r="T294" s="5"/>
      <c r="U294" s="5"/>
      <c r="V294" s="5"/>
      <c r="W294" s="5"/>
    </row>
    <row r="295" spans="1:23" ht="16" x14ac:dyDescent="0.2">
      <c r="A295" s="5"/>
      <c r="B295" s="6"/>
      <c r="C295" s="6"/>
      <c r="D295" s="6"/>
      <c r="E295" s="6"/>
      <c r="F295" s="5"/>
      <c r="G295" s="5"/>
      <c r="H295" s="5"/>
      <c r="I295" s="5"/>
      <c r="J295" s="5"/>
      <c r="K295" s="5"/>
      <c r="L295" s="5"/>
      <c r="M295" s="5"/>
      <c r="N295" s="5"/>
      <c r="O295" s="5"/>
      <c r="P295" s="5"/>
      <c r="Q295" s="5"/>
      <c r="R295" s="5"/>
      <c r="S295" s="5"/>
      <c r="T295" s="5"/>
      <c r="U295" s="5"/>
      <c r="V295" s="5"/>
      <c r="W295" s="5"/>
    </row>
    <row r="296" spans="1:23" ht="16" x14ac:dyDescent="0.2">
      <c r="A296" s="5"/>
      <c r="B296" s="6"/>
      <c r="C296" s="6"/>
      <c r="D296" s="6"/>
      <c r="E296" s="6"/>
      <c r="F296" s="5"/>
      <c r="G296" s="5"/>
      <c r="H296" s="5"/>
      <c r="I296" s="5"/>
      <c r="J296" s="5"/>
      <c r="K296" s="5"/>
      <c r="L296" s="5"/>
      <c r="M296" s="5"/>
      <c r="N296" s="5"/>
      <c r="O296" s="5"/>
      <c r="P296" s="5"/>
      <c r="Q296" s="5"/>
      <c r="R296" s="5"/>
      <c r="S296" s="5"/>
      <c r="T296" s="5"/>
      <c r="U296" s="5"/>
      <c r="V296" s="5"/>
      <c r="W296" s="5"/>
    </row>
    <row r="297" spans="1:23" ht="16" x14ac:dyDescent="0.2">
      <c r="A297" s="5"/>
      <c r="B297" s="6"/>
      <c r="C297" s="6"/>
      <c r="D297" s="6"/>
      <c r="E297" s="6"/>
      <c r="F297" s="5"/>
      <c r="G297" s="5"/>
      <c r="H297" s="5"/>
      <c r="I297" s="5"/>
      <c r="J297" s="5"/>
      <c r="K297" s="5"/>
      <c r="L297" s="5"/>
      <c r="M297" s="5"/>
      <c r="N297" s="5"/>
      <c r="O297" s="5"/>
      <c r="P297" s="5"/>
      <c r="Q297" s="5"/>
      <c r="R297" s="5"/>
      <c r="S297" s="5"/>
      <c r="T297" s="5"/>
      <c r="U297" s="5"/>
      <c r="V297" s="5"/>
      <c r="W297" s="5"/>
    </row>
    <row r="298" spans="1:23" ht="16" x14ac:dyDescent="0.2">
      <c r="A298" s="5"/>
      <c r="B298" s="6"/>
      <c r="C298" s="6"/>
      <c r="D298" s="6"/>
      <c r="E298" s="6"/>
      <c r="F298" s="5"/>
      <c r="G298" s="5"/>
      <c r="H298" s="5"/>
      <c r="I298" s="5"/>
      <c r="J298" s="5"/>
      <c r="K298" s="5"/>
      <c r="L298" s="5"/>
      <c r="M298" s="5"/>
      <c r="N298" s="5"/>
      <c r="O298" s="5"/>
      <c r="P298" s="5"/>
      <c r="Q298" s="5"/>
      <c r="R298" s="5"/>
      <c r="S298" s="5"/>
      <c r="T298" s="5"/>
      <c r="U298" s="5"/>
      <c r="V298" s="5"/>
      <c r="W298" s="5"/>
    </row>
    <row r="299" spans="1:23" ht="16" x14ac:dyDescent="0.2">
      <c r="A299" s="5"/>
      <c r="B299" s="6"/>
      <c r="C299" s="6"/>
      <c r="D299" s="6"/>
      <c r="E299" s="6"/>
      <c r="F299" s="5"/>
      <c r="G299" s="5"/>
      <c r="H299" s="5"/>
      <c r="I299" s="5"/>
      <c r="J299" s="5"/>
      <c r="K299" s="5"/>
      <c r="L299" s="5"/>
      <c r="M299" s="5"/>
      <c r="N299" s="5"/>
      <c r="O299" s="5"/>
      <c r="P299" s="5"/>
      <c r="Q299" s="5"/>
      <c r="R299" s="5"/>
      <c r="S299" s="5"/>
      <c r="T299" s="5"/>
      <c r="U299" s="5"/>
      <c r="V299" s="5"/>
      <c r="W299" s="5"/>
    </row>
    <row r="300" spans="1:23" ht="16" x14ac:dyDescent="0.2">
      <c r="A300" s="5"/>
      <c r="B300" s="6"/>
      <c r="C300" s="6"/>
      <c r="D300" s="6"/>
      <c r="E300" s="6"/>
      <c r="F300" s="5"/>
      <c r="G300" s="5"/>
      <c r="H300" s="5"/>
      <c r="I300" s="5"/>
      <c r="J300" s="5"/>
      <c r="K300" s="5"/>
      <c r="L300" s="5"/>
      <c r="M300" s="5"/>
      <c r="N300" s="5"/>
      <c r="O300" s="5"/>
      <c r="P300" s="5"/>
      <c r="Q300" s="5"/>
      <c r="R300" s="5"/>
      <c r="S300" s="5"/>
      <c r="T300" s="5"/>
      <c r="U300" s="5"/>
      <c r="V300" s="5"/>
      <c r="W300" s="5"/>
    </row>
    <row r="301" spans="1:23" ht="16" x14ac:dyDescent="0.2">
      <c r="A301" s="5"/>
      <c r="B301" s="6"/>
      <c r="C301" s="6"/>
      <c r="D301" s="6"/>
      <c r="E301" s="6"/>
      <c r="F301" s="5"/>
      <c r="G301" s="5"/>
      <c r="H301" s="5"/>
      <c r="I301" s="5"/>
      <c r="J301" s="5"/>
      <c r="K301" s="5"/>
      <c r="L301" s="5"/>
      <c r="M301" s="5"/>
      <c r="N301" s="5"/>
      <c r="O301" s="5"/>
      <c r="P301" s="5"/>
      <c r="Q301" s="5"/>
      <c r="R301" s="5"/>
      <c r="S301" s="5"/>
      <c r="T301" s="5"/>
      <c r="U301" s="5"/>
      <c r="V301" s="5"/>
      <c r="W301" s="5"/>
    </row>
    <row r="302" spans="1:23" ht="16" x14ac:dyDescent="0.2">
      <c r="A302" s="5"/>
      <c r="B302" s="6"/>
      <c r="C302" s="6"/>
      <c r="D302" s="6"/>
      <c r="E302" s="6"/>
      <c r="F302" s="5"/>
      <c r="G302" s="5"/>
      <c r="H302" s="5"/>
      <c r="I302" s="5"/>
      <c r="J302" s="5"/>
      <c r="K302" s="5"/>
      <c r="L302" s="5"/>
      <c r="M302" s="5"/>
      <c r="N302" s="5"/>
      <c r="O302" s="5"/>
      <c r="P302" s="5"/>
      <c r="Q302" s="5"/>
      <c r="R302" s="5"/>
      <c r="S302" s="5"/>
      <c r="T302" s="5"/>
      <c r="U302" s="5"/>
      <c r="V302" s="5"/>
      <c r="W302" s="5"/>
    </row>
    <row r="303" spans="1:23" ht="16" x14ac:dyDescent="0.2">
      <c r="A303" s="5"/>
      <c r="B303" s="6"/>
      <c r="C303" s="6"/>
      <c r="D303" s="6"/>
      <c r="E303" s="6"/>
      <c r="F303" s="5"/>
      <c r="G303" s="5"/>
      <c r="H303" s="5"/>
      <c r="I303" s="5"/>
      <c r="J303" s="5"/>
      <c r="K303" s="5"/>
      <c r="L303" s="5"/>
      <c r="M303" s="5"/>
      <c r="N303" s="5"/>
      <c r="O303" s="5"/>
      <c r="P303" s="5"/>
      <c r="Q303" s="5"/>
      <c r="R303" s="5"/>
      <c r="S303" s="5"/>
      <c r="T303" s="5"/>
      <c r="U303" s="5"/>
      <c r="V303" s="5"/>
      <c r="W303" s="5"/>
    </row>
    <row r="304" spans="1:23" ht="16" x14ac:dyDescent="0.2">
      <c r="A304" s="5"/>
      <c r="B304" s="6"/>
      <c r="C304" s="6"/>
      <c r="D304" s="6"/>
      <c r="E304" s="6"/>
      <c r="F304" s="5"/>
      <c r="G304" s="5"/>
      <c r="H304" s="5"/>
      <c r="I304" s="5"/>
      <c r="J304" s="5"/>
      <c r="K304" s="5"/>
      <c r="L304" s="5"/>
      <c r="M304" s="5"/>
      <c r="N304" s="5"/>
      <c r="O304" s="5"/>
      <c r="P304" s="5"/>
      <c r="Q304" s="5"/>
      <c r="R304" s="5"/>
      <c r="S304" s="5"/>
      <c r="T304" s="5"/>
      <c r="U304" s="5"/>
      <c r="V304" s="5"/>
      <c r="W304" s="5"/>
    </row>
    <row r="305" spans="1:23" ht="16" x14ac:dyDescent="0.2">
      <c r="A305" s="5"/>
      <c r="B305" s="6"/>
      <c r="C305" s="6"/>
      <c r="D305" s="6"/>
      <c r="E305" s="6"/>
      <c r="F305" s="5"/>
      <c r="G305" s="5"/>
      <c r="H305" s="5"/>
      <c r="I305" s="5"/>
      <c r="J305" s="5"/>
      <c r="K305" s="5"/>
      <c r="L305" s="5"/>
      <c r="M305" s="5"/>
      <c r="N305" s="5"/>
      <c r="O305" s="5"/>
      <c r="P305" s="5"/>
      <c r="Q305" s="5"/>
      <c r="R305" s="5"/>
      <c r="S305" s="5"/>
      <c r="T305" s="5"/>
      <c r="U305" s="5"/>
      <c r="V305" s="5"/>
      <c r="W305" s="5"/>
    </row>
    <row r="306" spans="1:23" ht="16" x14ac:dyDescent="0.2">
      <c r="A306" s="5"/>
      <c r="B306" s="6"/>
      <c r="C306" s="6"/>
      <c r="D306" s="6"/>
      <c r="E306" s="6"/>
      <c r="F306" s="5"/>
      <c r="G306" s="5"/>
      <c r="H306" s="5"/>
      <c r="I306" s="5"/>
      <c r="J306" s="5"/>
      <c r="K306" s="5"/>
      <c r="L306" s="5"/>
      <c r="M306" s="5"/>
      <c r="N306" s="5"/>
      <c r="O306" s="5"/>
      <c r="P306" s="5"/>
      <c r="Q306" s="5"/>
      <c r="R306" s="5"/>
      <c r="S306" s="5"/>
      <c r="T306" s="5"/>
      <c r="U306" s="5"/>
      <c r="V306" s="5"/>
      <c r="W306" s="5"/>
    </row>
    <row r="307" spans="1:23" ht="16" x14ac:dyDescent="0.2">
      <c r="A307" s="5"/>
      <c r="B307" s="6"/>
      <c r="C307" s="6"/>
      <c r="D307" s="6"/>
      <c r="E307" s="6"/>
      <c r="F307" s="5"/>
      <c r="G307" s="5"/>
      <c r="H307" s="5"/>
      <c r="I307" s="5"/>
      <c r="J307" s="5"/>
      <c r="K307" s="5"/>
      <c r="L307" s="5"/>
      <c r="M307" s="5"/>
      <c r="N307" s="5"/>
      <c r="O307" s="5"/>
      <c r="P307" s="5"/>
      <c r="Q307" s="5"/>
      <c r="R307" s="5"/>
      <c r="S307" s="5"/>
      <c r="T307" s="5"/>
      <c r="U307" s="5"/>
      <c r="V307" s="5"/>
      <c r="W307" s="5"/>
    </row>
    <row r="308" spans="1:23" ht="16" x14ac:dyDescent="0.2">
      <c r="A308" s="5"/>
      <c r="B308" s="6"/>
      <c r="C308" s="6"/>
      <c r="D308" s="6"/>
      <c r="E308" s="6"/>
      <c r="F308" s="5"/>
      <c r="G308" s="5"/>
      <c r="H308" s="5"/>
      <c r="I308" s="5"/>
      <c r="J308" s="5"/>
      <c r="K308" s="5"/>
      <c r="L308" s="5"/>
      <c r="M308" s="5"/>
      <c r="N308" s="5"/>
      <c r="O308" s="5"/>
      <c r="P308" s="5"/>
      <c r="Q308" s="5"/>
      <c r="R308" s="5"/>
      <c r="S308" s="5"/>
      <c r="T308" s="5"/>
      <c r="U308" s="5"/>
      <c r="V308" s="5"/>
      <c r="W308" s="5"/>
    </row>
    <row r="309" spans="1:23" ht="16" x14ac:dyDescent="0.2">
      <c r="A309" s="5"/>
      <c r="B309" s="6"/>
      <c r="C309" s="6"/>
      <c r="D309" s="6"/>
      <c r="E309" s="6"/>
      <c r="F309" s="5"/>
      <c r="G309" s="5"/>
      <c r="H309" s="5"/>
      <c r="I309" s="5"/>
      <c r="J309" s="5"/>
      <c r="K309" s="5"/>
      <c r="L309" s="5"/>
      <c r="M309" s="5"/>
      <c r="N309" s="5"/>
      <c r="O309" s="5"/>
      <c r="P309" s="5"/>
      <c r="Q309" s="5"/>
      <c r="R309" s="5"/>
      <c r="S309" s="5"/>
      <c r="T309" s="5"/>
      <c r="U309" s="5"/>
      <c r="V309" s="5"/>
      <c r="W309" s="5"/>
    </row>
    <row r="310" spans="1:23" ht="16" x14ac:dyDescent="0.2">
      <c r="A310" s="5"/>
      <c r="B310" s="6"/>
      <c r="C310" s="6"/>
      <c r="D310" s="6"/>
      <c r="E310" s="6"/>
      <c r="F310" s="5"/>
      <c r="G310" s="5"/>
      <c r="H310" s="5"/>
      <c r="I310" s="5"/>
      <c r="J310" s="5"/>
      <c r="K310" s="5"/>
      <c r="L310" s="5"/>
      <c r="M310" s="5"/>
      <c r="N310" s="5"/>
      <c r="O310" s="5"/>
      <c r="P310" s="5"/>
      <c r="Q310" s="5"/>
      <c r="R310" s="5"/>
      <c r="S310" s="5"/>
      <c r="T310" s="5"/>
      <c r="U310" s="5"/>
      <c r="V310" s="5"/>
      <c r="W310" s="5"/>
    </row>
    <row r="311" spans="1:23" ht="16" x14ac:dyDescent="0.2">
      <c r="A311" s="5"/>
      <c r="B311" s="6"/>
      <c r="C311" s="6"/>
      <c r="D311" s="6"/>
      <c r="E311" s="6"/>
      <c r="F311" s="5"/>
      <c r="G311" s="5"/>
      <c r="H311" s="5"/>
      <c r="I311" s="5"/>
      <c r="J311" s="5"/>
      <c r="K311" s="5"/>
      <c r="L311" s="5"/>
      <c r="M311" s="5"/>
      <c r="N311" s="5"/>
      <c r="O311" s="5"/>
      <c r="P311" s="5"/>
      <c r="Q311" s="5"/>
      <c r="R311" s="5"/>
      <c r="S311" s="5"/>
      <c r="T311" s="5"/>
      <c r="U311" s="5"/>
      <c r="V311" s="5"/>
      <c r="W311" s="5"/>
    </row>
    <row r="312" spans="1:23" ht="16" x14ac:dyDescent="0.2">
      <c r="A312" s="5"/>
      <c r="B312" s="6"/>
      <c r="C312" s="6"/>
      <c r="D312" s="6"/>
      <c r="E312" s="6"/>
      <c r="F312" s="5"/>
      <c r="G312" s="5"/>
      <c r="H312" s="5"/>
      <c r="I312" s="5"/>
      <c r="J312" s="5"/>
      <c r="K312" s="5"/>
      <c r="L312" s="5"/>
      <c r="M312" s="5"/>
      <c r="N312" s="5"/>
      <c r="O312" s="5"/>
      <c r="P312" s="5"/>
      <c r="Q312" s="5"/>
      <c r="R312" s="5"/>
      <c r="S312" s="5"/>
      <c r="T312" s="5"/>
      <c r="U312" s="5"/>
      <c r="V312" s="5"/>
      <c r="W312" s="5"/>
    </row>
    <row r="313" spans="1:23" ht="16" x14ac:dyDescent="0.2">
      <c r="A313" s="5"/>
      <c r="B313" s="6"/>
      <c r="C313" s="6"/>
      <c r="D313" s="6"/>
      <c r="E313" s="6"/>
      <c r="F313" s="5"/>
      <c r="G313" s="5"/>
      <c r="H313" s="5"/>
      <c r="I313" s="5"/>
      <c r="J313" s="5"/>
      <c r="K313" s="5"/>
      <c r="L313" s="5"/>
      <c r="M313" s="5"/>
      <c r="N313" s="5"/>
      <c r="O313" s="5"/>
      <c r="P313" s="5"/>
      <c r="Q313" s="5"/>
      <c r="R313" s="5"/>
      <c r="S313" s="5"/>
      <c r="T313" s="5"/>
      <c r="U313" s="5"/>
      <c r="V313" s="5"/>
      <c r="W313" s="5"/>
    </row>
    <row r="314" spans="1:23" ht="16" x14ac:dyDescent="0.2">
      <c r="A314" s="5"/>
      <c r="B314" s="6"/>
      <c r="C314" s="6"/>
      <c r="D314" s="6"/>
      <c r="E314" s="6"/>
      <c r="F314" s="5"/>
      <c r="G314" s="5"/>
      <c r="H314" s="5"/>
      <c r="I314" s="5"/>
      <c r="J314" s="5"/>
      <c r="K314" s="5"/>
      <c r="L314" s="5"/>
      <c r="M314" s="5"/>
      <c r="N314" s="5"/>
      <c r="O314" s="5"/>
      <c r="P314" s="5"/>
      <c r="Q314" s="5"/>
      <c r="R314" s="5"/>
      <c r="S314" s="5"/>
      <c r="T314" s="5"/>
      <c r="U314" s="5"/>
      <c r="V314" s="5"/>
      <c r="W314" s="5"/>
    </row>
    <row r="315" spans="1:23" ht="16" x14ac:dyDescent="0.2">
      <c r="A315" s="5"/>
      <c r="B315" s="6"/>
      <c r="C315" s="6"/>
      <c r="D315" s="6"/>
      <c r="E315" s="6"/>
      <c r="F315" s="5"/>
      <c r="G315" s="5"/>
      <c r="H315" s="5"/>
      <c r="I315" s="5"/>
      <c r="J315" s="5"/>
      <c r="K315" s="5"/>
      <c r="L315" s="5"/>
      <c r="M315" s="5"/>
      <c r="N315" s="5"/>
      <c r="O315" s="5"/>
      <c r="P315" s="5"/>
      <c r="Q315" s="5"/>
      <c r="R315" s="5"/>
      <c r="S315" s="5"/>
      <c r="T315" s="5"/>
      <c r="U315" s="5"/>
      <c r="V315" s="5"/>
      <c r="W315" s="5"/>
    </row>
    <row r="316" spans="1:23" ht="16" x14ac:dyDescent="0.2">
      <c r="A316" s="5"/>
      <c r="B316" s="6"/>
      <c r="C316" s="6"/>
      <c r="D316" s="6"/>
      <c r="E316" s="6"/>
      <c r="F316" s="5"/>
      <c r="G316" s="5"/>
      <c r="H316" s="5"/>
      <c r="I316" s="5"/>
      <c r="J316" s="5"/>
      <c r="K316" s="5"/>
      <c r="L316" s="5"/>
      <c r="M316" s="5"/>
      <c r="N316" s="5"/>
      <c r="O316" s="5"/>
      <c r="P316" s="5"/>
      <c r="Q316" s="5"/>
      <c r="R316" s="5"/>
      <c r="S316" s="5"/>
      <c r="T316" s="5"/>
      <c r="U316" s="5"/>
      <c r="V316" s="5"/>
      <c r="W316" s="5"/>
    </row>
    <row r="317" spans="1:23" ht="16" x14ac:dyDescent="0.2">
      <c r="A317" s="5"/>
      <c r="B317" s="6"/>
      <c r="C317" s="6"/>
      <c r="D317" s="6"/>
      <c r="E317" s="6"/>
      <c r="F317" s="5"/>
      <c r="G317" s="5"/>
      <c r="H317" s="5"/>
      <c r="I317" s="5"/>
      <c r="J317" s="5"/>
      <c r="K317" s="5"/>
      <c r="L317" s="5"/>
      <c r="M317" s="5"/>
      <c r="N317" s="5"/>
      <c r="O317" s="5"/>
      <c r="P317" s="5"/>
      <c r="Q317" s="5"/>
      <c r="R317" s="5"/>
      <c r="S317" s="5"/>
      <c r="T317" s="5"/>
      <c r="U317" s="5"/>
      <c r="V317" s="5"/>
      <c r="W317" s="5"/>
    </row>
    <row r="318" spans="1:23" ht="16" x14ac:dyDescent="0.2">
      <c r="A318" s="5"/>
      <c r="B318" s="6"/>
      <c r="C318" s="6"/>
      <c r="D318" s="6"/>
      <c r="E318" s="6"/>
      <c r="F318" s="5"/>
      <c r="G318" s="5"/>
      <c r="H318" s="5"/>
      <c r="I318" s="5"/>
      <c r="J318" s="5"/>
      <c r="K318" s="5"/>
      <c r="L318" s="5"/>
      <c r="M318" s="5"/>
      <c r="N318" s="5"/>
      <c r="O318" s="5"/>
      <c r="P318" s="5"/>
      <c r="Q318" s="5"/>
      <c r="R318" s="5"/>
      <c r="S318" s="5"/>
      <c r="T318" s="5"/>
      <c r="U318" s="5"/>
      <c r="V318" s="5"/>
      <c r="W318" s="5"/>
    </row>
    <row r="319" spans="1:23" ht="16" x14ac:dyDescent="0.2">
      <c r="A319" s="5"/>
      <c r="B319" s="6"/>
      <c r="C319" s="6"/>
      <c r="D319" s="6"/>
      <c r="E319" s="6"/>
      <c r="F319" s="5"/>
      <c r="G319" s="5"/>
      <c r="H319" s="5"/>
      <c r="I319" s="5"/>
      <c r="J319" s="5"/>
      <c r="K319" s="5"/>
      <c r="L319" s="5"/>
      <c r="M319" s="5"/>
      <c r="N319" s="5"/>
      <c r="O319" s="5"/>
      <c r="P319" s="5"/>
      <c r="Q319" s="5"/>
      <c r="R319" s="5"/>
      <c r="S319" s="5"/>
      <c r="T319" s="5"/>
      <c r="U319" s="5"/>
      <c r="V319" s="5"/>
      <c r="W319" s="5"/>
    </row>
    <row r="320" spans="1:23" ht="16" x14ac:dyDescent="0.2">
      <c r="A320" s="5"/>
      <c r="B320" s="6"/>
      <c r="C320" s="6"/>
      <c r="D320" s="6"/>
      <c r="E320" s="6"/>
      <c r="F320" s="5"/>
      <c r="G320" s="5"/>
      <c r="H320" s="5"/>
      <c r="I320" s="5"/>
      <c r="J320" s="5"/>
      <c r="K320" s="5"/>
      <c r="L320" s="5"/>
      <c r="M320" s="5"/>
      <c r="N320" s="5"/>
      <c r="O320" s="5"/>
      <c r="P320" s="5"/>
      <c r="Q320" s="5"/>
      <c r="R320" s="5"/>
      <c r="S320" s="5"/>
      <c r="T320" s="5"/>
      <c r="U320" s="5"/>
      <c r="V320" s="5"/>
      <c r="W320" s="5"/>
    </row>
    <row r="321" spans="1:23" ht="16" x14ac:dyDescent="0.2">
      <c r="A321" s="5"/>
      <c r="B321" s="6"/>
      <c r="C321" s="6"/>
      <c r="D321" s="6"/>
      <c r="E321" s="6"/>
      <c r="F321" s="5"/>
      <c r="G321" s="5"/>
      <c r="H321" s="5"/>
      <c r="I321" s="5"/>
      <c r="J321" s="5"/>
      <c r="K321" s="5"/>
      <c r="L321" s="5"/>
      <c r="M321" s="5"/>
      <c r="N321" s="5"/>
      <c r="O321" s="5"/>
      <c r="P321" s="5"/>
      <c r="Q321" s="5"/>
      <c r="R321" s="5"/>
      <c r="S321" s="5"/>
      <c r="T321" s="5"/>
      <c r="U321" s="5"/>
      <c r="V321" s="5"/>
      <c r="W321" s="5"/>
    </row>
    <row r="322" spans="1:23" ht="16" x14ac:dyDescent="0.2">
      <c r="A322" s="5"/>
      <c r="B322" s="6"/>
      <c r="C322" s="6"/>
      <c r="D322" s="6"/>
      <c r="E322" s="6"/>
      <c r="F322" s="5"/>
      <c r="G322" s="5"/>
      <c r="H322" s="5"/>
      <c r="I322" s="5"/>
      <c r="J322" s="5"/>
      <c r="K322" s="5"/>
      <c r="L322" s="5"/>
      <c r="M322" s="5"/>
      <c r="N322" s="5"/>
      <c r="O322" s="5"/>
      <c r="P322" s="5"/>
      <c r="Q322" s="5"/>
      <c r="R322" s="5"/>
      <c r="S322" s="5"/>
      <c r="T322" s="5"/>
      <c r="U322" s="5"/>
      <c r="V322" s="5"/>
      <c r="W322" s="5"/>
    </row>
    <row r="323" spans="1:23" ht="16" x14ac:dyDescent="0.2">
      <c r="A323" s="5"/>
      <c r="B323" s="6"/>
      <c r="C323" s="6"/>
      <c r="D323" s="6"/>
      <c r="E323" s="6"/>
      <c r="F323" s="5"/>
      <c r="G323" s="5"/>
      <c r="H323" s="5"/>
      <c r="I323" s="5"/>
      <c r="J323" s="5"/>
      <c r="K323" s="5"/>
      <c r="L323" s="5"/>
      <c r="M323" s="5"/>
      <c r="N323" s="5"/>
      <c r="O323" s="5"/>
      <c r="P323" s="5"/>
      <c r="Q323" s="5"/>
      <c r="R323" s="5"/>
      <c r="S323" s="5"/>
      <c r="T323" s="5"/>
      <c r="U323" s="5"/>
      <c r="V323" s="5"/>
      <c r="W323" s="5"/>
    </row>
    <row r="324" spans="1:23" ht="16" x14ac:dyDescent="0.2">
      <c r="A324" s="5"/>
      <c r="B324" s="6"/>
      <c r="C324" s="6"/>
      <c r="D324" s="6"/>
      <c r="E324" s="6"/>
      <c r="F324" s="5"/>
      <c r="G324" s="5"/>
      <c r="H324" s="5"/>
      <c r="I324" s="5"/>
      <c r="J324" s="5"/>
      <c r="K324" s="5"/>
      <c r="L324" s="5"/>
      <c r="M324" s="5"/>
      <c r="N324" s="5"/>
      <c r="O324" s="5"/>
      <c r="P324" s="5"/>
      <c r="Q324" s="5"/>
      <c r="R324" s="5"/>
      <c r="S324" s="5"/>
      <c r="T324" s="5"/>
      <c r="U324" s="5"/>
      <c r="V324" s="5"/>
      <c r="W324" s="5"/>
    </row>
    <row r="325" spans="1:23" ht="16" x14ac:dyDescent="0.2">
      <c r="A325" s="5"/>
      <c r="B325" s="6"/>
      <c r="C325" s="6"/>
      <c r="D325" s="6"/>
      <c r="E325" s="6"/>
      <c r="F325" s="5"/>
      <c r="G325" s="5"/>
      <c r="H325" s="5"/>
      <c r="I325" s="5"/>
      <c r="J325" s="5"/>
      <c r="K325" s="5"/>
      <c r="L325" s="5"/>
      <c r="M325" s="5"/>
      <c r="N325" s="5"/>
      <c r="O325" s="5"/>
      <c r="P325" s="5"/>
      <c r="Q325" s="5"/>
      <c r="R325" s="5"/>
      <c r="S325" s="5"/>
      <c r="T325" s="5"/>
      <c r="U325" s="5"/>
      <c r="V325" s="5"/>
      <c r="W325" s="5"/>
    </row>
    <row r="326" spans="1:23" ht="16" x14ac:dyDescent="0.2">
      <c r="A326" s="5"/>
      <c r="B326" s="6"/>
      <c r="C326" s="6"/>
      <c r="D326" s="6"/>
      <c r="E326" s="6"/>
      <c r="F326" s="5"/>
      <c r="G326" s="5"/>
      <c r="H326" s="5"/>
      <c r="I326" s="5"/>
      <c r="J326" s="5"/>
      <c r="K326" s="5"/>
      <c r="L326" s="5"/>
      <c r="M326" s="5"/>
      <c r="N326" s="5"/>
      <c r="O326" s="5"/>
      <c r="P326" s="5"/>
      <c r="Q326" s="5"/>
      <c r="R326" s="5"/>
      <c r="S326" s="5"/>
      <c r="T326" s="5"/>
      <c r="U326" s="5"/>
      <c r="V326" s="5"/>
      <c r="W326" s="5"/>
    </row>
    <row r="327" spans="1:23" ht="16" x14ac:dyDescent="0.2">
      <c r="A327" s="5"/>
      <c r="B327" s="6"/>
      <c r="C327" s="6"/>
      <c r="D327" s="6"/>
      <c r="E327" s="6"/>
      <c r="F327" s="5"/>
      <c r="G327" s="5"/>
      <c r="H327" s="5"/>
      <c r="I327" s="5"/>
      <c r="J327" s="5"/>
      <c r="K327" s="5"/>
      <c r="L327" s="5"/>
      <c r="M327" s="5"/>
      <c r="N327" s="5"/>
      <c r="O327" s="5"/>
      <c r="P327" s="5"/>
      <c r="Q327" s="5"/>
      <c r="R327" s="5"/>
      <c r="S327" s="5"/>
      <c r="T327" s="5"/>
      <c r="U327" s="5"/>
      <c r="V327" s="5"/>
      <c r="W327" s="5"/>
    </row>
    <row r="328" spans="1:23" ht="16" x14ac:dyDescent="0.2">
      <c r="A328" s="5"/>
      <c r="B328" s="6"/>
      <c r="C328" s="6"/>
      <c r="D328" s="6"/>
      <c r="E328" s="6"/>
      <c r="F328" s="5"/>
      <c r="G328" s="5"/>
      <c r="H328" s="5"/>
      <c r="I328" s="5"/>
      <c r="J328" s="5"/>
      <c r="K328" s="5"/>
      <c r="L328" s="5"/>
      <c r="M328" s="5"/>
      <c r="N328" s="5"/>
      <c r="O328" s="5"/>
      <c r="P328" s="5"/>
      <c r="Q328" s="5"/>
      <c r="R328" s="5"/>
      <c r="S328" s="5"/>
      <c r="T328" s="5"/>
      <c r="U328" s="5"/>
      <c r="V328" s="5"/>
      <c r="W328" s="5"/>
    </row>
    <row r="329" spans="1:23" ht="16" x14ac:dyDescent="0.2">
      <c r="A329" s="5"/>
      <c r="B329" s="6"/>
      <c r="C329" s="6"/>
      <c r="D329" s="6"/>
      <c r="E329" s="6"/>
      <c r="F329" s="5"/>
      <c r="G329" s="5"/>
      <c r="H329" s="5"/>
      <c r="I329" s="5"/>
      <c r="J329" s="5"/>
      <c r="K329" s="5"/>
      <c r="L329" s="5"/>
      <c r="M329" s="5"/>
      <c r="N329" s="5"/>
      <c r="O329" s="5"/>
      <c r="P329" s="5"/>
      <c r="Q329" s="5"/>
      <c r="R329" s="5"/>
      <c r="S329" s="5"/>
      <c r="T329" s="5"/>
      <c r="U329" s="5"/>
      <c r="V329" s="5"/>
      <c r="W329" s="5"/>
    </row>
    <row r="330" spans="1:23" ht="16" x14ac:dyDescent="0.2">
      <c r="A330" s="5"/>
      <c r="B330" s="6"/>
      <c r="C330" s="6"/>
      <c r="D330" s="6"/>
      <c r="E330" s="6"/>
      <c r="F330" s="5"/>
      <c r="G330" s="5"/>
      <c r="H330" s="5"/>
      <c r="I330" s="5"/>
      <c r="J330" s="5"/>
      <c r="K330" s="5"/>
      <c r="L330" s="5"/>
      <c r="M330" s="5"/>
      <c r="N330" s="5"/>
      <c r="O330" s="5"/>
      <c r="P330" s="5"/>
      <c r="Q330" s="5"/>
      <c r="R330" s="5"/>
      <c r="S330" s="5"/>
      <c r="T330" s="5"/>
      <c r="U330" s="5"/>
      <c r="V330" s="5"/>
      <c r="W330" s="5"/>
    </row>
    <row r="331" spans="1:23" ht="16" x14ac:dyDescent="0.2">
      <c r="A331" s="5"/>
      <c r="B331" s="6"/>
      <c r="C331" s="6"/>
      <c r="D331" s="6"/>
      <c r="E331" s="6"/>
      <c r="F331" s="5"/>
      <c r="G331" s="5"/>
      <c r="H331" s="5"/>
      <c r="I331" s="5"/>
      <c r="J331" s="5"/>
      <c r="K331" s="5"/>
      <c r="L331" s="5"/>
      <c r="M331" s="5"/>
      <c r="N331" s="5"/>
      <c r="O331" s="5"/>
      <c r="P331" s="5"/>
      <c r="Q331" s="5"/>
      <c r="R331" s="5"/>
      <c r="S331" s="5"/>
      <c r="T331" s="5"/>
      <c r="U331" s="5"/>
      <c r="V331" s="5"/>
      <c r="W331" s="5"/>
    </row>
    <row r="332" spans="1:23" ht="16" x14ac:dyDescent="0.2">
      <c r="A332" s="5"/>
      <c r="B332" s="6"/>
      <c r="C332" s="6"/>
      <c r="D332" s="6"/>
      <c r="E332" s="6"/>
      <c r="F332" s="5"/>
      <c r="G332" s="5"/>
      <c r="H332" s="5"/>
      <c r="I332" s="5"/>
      <c r="J332" s="5"/>
      <c r="K332" s="5"/>
      <c r="L332" s="5"/>
      <c r="M332" s="5"/>
      <c r="N332" s="5"/>
      <c r="O332" s="5"/>
      <c r="P332" s="5"/>
      <c r="Q332" s="5"/>
      <c r="R332" s="5"/>
      <c r="S332" s="5"/>
      <c r="T332" s="5"/>
      <c r="U332" s="5"/>
      <c r="V332" s="5"/>
      <c r="W332" s="5"/>
    </row>
    <row r="333" spans="1:23" ht="16" x14ac:dyDescent="0.2">
      <c r="A333" s="5"/>
      <c r="B333" s="6"/>
      <c r="C333" s="6"/>
      <c r="D333" s="6"/>
      <c r="E333" s="6"/>
      <c r="F333" s="5"/>
      <c r="G333" s="5"/>
      <c r="H333" s="5"/>
      <c r="I333" s="5"/>
      <c r="J333" s="5"/>
      <c r="K333" s="5"/>
      <c r="L333" s="5"/>
      <c r="M333" s="5"/>
      <c r="N333" s="5"/>
      <c r="O333" s="5"/>
      <c r="P333" s="5"/>
      <c r="Q333" s="5"/>
      <c r="R333" s="5"/>
      <c r="S333" s="5"/>
      <c r="T333" s="5"/>
      <c r="U333" s="5"/>
      <c r="V333" s="5"/>
      <c r="W333" s="5"/>
    </row>
    <row r="334" spans="1:23" ht="16" x14ac:dyDescent="0.2">
      <c r="A334" s="5"/>
      <c r="B334" s="6"/>
      <c r="C334" s="6"/>
      <c r="D334" s="6"/>
      <c r="E334" s="6"/>
      <c r="F334" s="5"/>
      <c r="G334" s="5"/>
      <c r="H334" s="5"/>
      <c r="I334" s="5"/>
      <c r="J334" s="5"/>
      <c r="K334" s="5"/>
      <c r="L334" s="5"/>
      <c r="M334" s="5"/>
      <c r="N334" s="5"/>
      <c r="O334" s="5"/>
      <c r="P334" s="5"/>
      <c r="Q334" s="5"/>
      <c r="R334" s="5"/>
      <c r="S334" s="5"/>
      <c r="T334" s="5"/>
      <c r="U334" s="5"/>
      <c r="V334" s="5"/>
      <c r="W334" s="5"/>
    </row>
    <row r="335" spans="1:23" ht="16" x14ac:dyDescent="0.2">
      <c r="A335" s="5"/>
      <c r="B335" s="6"/>
      <c r="C335" s="6"/>
      <c r="D335" s="6"/>
      <c r="E335" s="6"/>
      <c r="F335" s="5"/>
      <c r="G335" s="5"/>
      <c r="H335" s="5"/>
      <c r="I335" s="5"/>
      <c r="J335" s="5"/>
      <c r="K335" s="5"/>
      <c r="L335" s="5"/>
      <c r="M335" s="5"/>
      <c r="N335" s="5"/>
      <c r="O335" s="5"/>
      <c r="P335" s="5"/>
      <c r="Q335" s="5"/>
      <c r="R335" s="5"/>
      <c r="S335" s="5"/>
      <c r="T335" s="5"/>
      <c r="U335" s="5"/>
      <c r="V335" s="5"/>
      <c r="W335" s="5"/>
    </row>
    <row r="336" spans="1:23" ht="16" x14ac:dyDescent="0.2">
      <c r="A336" s="5"/>
      <c r="B336" s="6"/>
      <c r="C336" s="6"/>
      <c r="D336" s="6"/>
      <c r="E336" s="6"/>
      <c r="F336" s="5"/>
      <c r="G336" s="5"/>
      <c r="H336" s="5"/>
      <c r="I336" s="5"/>
      <c r="J336" s="5"/>
      <c r="K336" s="5"/>
      <c r="L336" s="5"/>
      <c r="M336" s="5"/>
      <c r="N336" s="5"/>
      <c r="O336" s="5"/>
      <c r="P336" s="5"/>
      <c r="Q336" s="5"/>
      <c r="R336" s="5"/>
      <c r="S336" s="5"/>
      <c r="T336" s="5"/>
      <c r="U336" s="5"/>
      <c r="V336" s="5"/>
      <c r="W336" s="5"/>
    </row>
    <row r="337" spans="1:23" ht="16" x14ac:dyDescent="0.2">
      <c r="A337" s="5"/>
      <c r="B337" s="6"/>
      <c r="C337" s="6"/>
      <c r="D337" s="6"/>
      <c r="E337" s="6"/>
      <c r="F337" s="5"/>
      <c r="G337" s="5"/>
      <c r="H337" s="5"/>
      <c r="I337" s="5"/>
      <c r="J337" s="5"/>
      <c r="K337" s="5"/>
      <c r="L337" s="5"/>
      <c r="M337" s="5"/>
      <c r="N337" s="5"/>
      <c r="O337" s="5"/>
      <c r="P337" s="5"/>
      <c r="Q337" s="5"/>
      <c r="R337" s="5"/>
      <c r="S337" s="5"/>
      <c r="T337" s="5"/>
      <c r="U337" s="5"/>
      <c r="V337" s="5"/>
      <c r="W337" s="5"/>
    </row>
    <row r="338" spans="1:23" ht="16" x14ac:dyDescent="0.2">
      <c r="A338" s="5"/>
      <c r="B338" s="6"/>
      <c r="C338" s="6"/>
      <c r="D338" s="6"/>
      <c r="E338" s="6"/>
      <c r="F338" s="5"/>
      <c r="G338" s="5"/>
      <c r="H338" s="5"/>
      <c r="I338" s="5"/>
      <c r="J338" s="5"/>
      <c r="K338" s="5"/>
      <c r="L338" s="5"/>
      <c r="M338" s="5"/>
      <c r="N338" s="5"/>
      <c r="O338" s="5"/>
      <c r="P338" s="5"/>
      <c r="Q338" s="5"/>
      <c r="R338" s="5"/>
      <c r="S338" s="5"/>
      <c r="T338" s="5"/>
      <c r="U338" s="5"/>
      <c r="V338" s="5"/>
      <c r="W338" s="5"/>
    </row>
    <row r="339" spans="1:23" ht="16" x14ac:dyDescent="0.2">
      <c r="A339" s="5"/>
      <c r="B339" s="6"/>
      <c r="C339" s="6"/>
      <c r="D339" s="6"/>
      <c r="E339" s="6"/>
      <c r="F339" s="5"/>
      <c r="G339" s="5"/>
      <c r="H339" s="5"/>
      <c r="I339" s="5"/>
      <c r="J339" s="5"/>
      <c r="K339" s="5"/>
      <c r="L339" s="5"/>
      <c r="M339" s="5"/>
      <c r="N339" s="5"/>
      <c r="O339" s="5"/>
      <c r="P339" s="5"/>
      <c r="Q339" s="5"/>
      <c r="R339" s="5"/>
      <c r="S339" s="5"/>
      <c r="T339" s="5"/>
      <c r="U339" s="5"/>
      <c r="V339" s="5"/>
      <c r="W339" s="5"/>
    </row>
    <row r="340" spans="1:23" ht="16" x14ac:dyDescent="0.2">
      <c r="A340" s="5"/>
      <c r="B340" s="6"/>
      <c r="C340" s="6"/>
      <c r="D340" s="6"/>
      <c r="E340" s="6"/>
      <c r="F340" s="5"/>
      <c r="G340" s="5"/>
      <c r="H340" s="5"/>
      <c r="I340" s="5"/>
      <c r="J340" s="5"/>
      <c r="K340" s="5"/>
      <c r="L340" s="5"/>
      <c r="M340" s="5"/>
      <c r="N340" s="5"/>
      <c r="O340" s="5"/>
      <c r="P340" s="5"/>
      <c r="Q340" s="5"/>
      <c r="R340" s="5"/>
      <c r="S340" s="5"/>
      <c r="T340" s="5"/>
      <c r="U340" s="5"/>
      <c r="V340" s="5"/>
      <c r="W340" s="5"/>
    </row>
    <row r="341" spans="1:23" ht="16" x14ac:dyDescent="0.2">
      <c r="A341" s="5"/>
      <c r="B341" s="6"/>
      <c r="C341" s="6"/>
      <c r="D341" s="6"/>
      <c r="E341" s="6"/>
      <c r="F341" s="5"/>
      <c r="G341" s="5"/>
      <c r="H341" s="5"/>
      <c r="I341" s="5"/>
      <c r="J341" s="5"/>
      <c r="K341" s="5"/>
      <c r="L341" s="5"/>
      <c r="M341" s="5"/>
      <c r="N341" s="5"/>
      <c r="O341" s="5"/>
      <c r="P341" s="5"/>
      <c r="Q341" s="5"/>
      <c r="R341" s="5"/>
      <c r="S341" s="5"/>
      <c r="T341" s="5"/>
      <c r="U341" s="5"/>
      <c r="V341" s="5"/>
      <c r="W341" s="5"/>
    </row>
    <row r="342" spans="1:23" ht="16" x14ac:dyDescent="0.2">
      <c r="A342" s="5"/>
      <c r="B342" s="6"/>
      <c r="C342" s="6"/>
      <c r="D342" s="6"/>
      <c r="E342" s="6"/>
      <c r="F342" s="5"/>
      <c r="G342" s="5"/>
      <c r="H342" s="5"/>
      <c r="I342" s="5"/>
      <c r="J342" s="5"/>
      <c r="K342" s="5"/>
      <c r="L342" s="5"/>
      <c r="M342" s="5"/>
      <c r="N342" s="5"/>
      <c r="O342" s="5"/>
      <c r="P342" s="5"/>
      <c r="Q342" s="5"/>
      <c r="R342" s="5"/>
      <c r="S342" s="5"/>
      <c r="T342" s="5"/>
      <c r="U342" s="5"/>
      <c r="V342" s="5"/>
      <c r="W342" s="5"/>
    </row>
    <row r="343" spans="1:23" ht="16" x14ac:dyDescent="0.2">
      <c r="A343" s="5"/>
      <c r="B343" s="6"/>
      <c r="C343" s="6"/>
      <c r="D343" s="6"/>
      <c r="E343" s="6"/>
      <c r="F343" s="5"/>
      <c r="G343" s="5"/>
      <c r="H343" s="5"/>
      <c r="I343" s="5"/>
      <c r="J343" s="5"/>
      <c r="K343" s="5"/>
      <c r="L343" s="5"/>
      <c r="M343" s="5"/>
      <c r="N343" s="5"/>
      <c r="O343" s="5"/>
      <c r="P343" s="5"/>
      <c r="Q343" s="5"/>
      <c r="R343" s="5"/>
      <c r="S343" s="5"/>
      <c r="T343" s="5"/>
      <c r="U343" s="5"/>
      <c r="V343" s="5"/>
      <c r="W343" s="5"/>
    </row>
    <row r="344" spans="1:23" ht="16" x14ac:dyDescent="0.2">
      <c r="A344" s="5"/>
      <c r="B344" s="6"/>
      <c r="C344" s="6"/>
      <c r="D344" s="6"/>
      <c r="E344" s="6"/>
      <c r="F344" s="5"/>
      <c r="G344" s="5"/>
      <c r="H344" s="5"/>
      <c r="I344" s="5"/>
      <c r="J344" s="5"/>
      <c r="K344" s="5"/>
      <c r="L344" s="5"/>
      <c r="M344" s="5"/>
      <c r="N344" s="5"/>
      <c r="O344" s="5"/>
      <c r="P344" s="5"/>
      <c r="Q344" s="5"/>
      <c r="R344" s="5"/>
      <c r="S344" s="5"/>
      <c r="T344" s="5"/>
      <c r="U344" s="5"/>
      <c r="V344" s="5"/>
      <c r="W344" s="5"/>
    </row>
    <row r="345" spans="1:23" ht="16" x14ac:dyDescent="0.2">
      <c r="A345" s="5"/>
      <c r="B345" s="6"/>
      <c r="C345" s="6"/>
      <c r="D345" s="6"/>
      <c r="E345" s="6"/>
      <c r="F345" s="5"/>
      <c r="G345" s="5"/>
      <c r="H345" s="5"/>
      <c r="I345" s="5"/>
      <c r="J345" s="5"/>
      <c r="K345" s="5"/>
      <c r="L345" s="5"/>
      <c r="M345" s="5"/>
      <c r="N345" s="5"/>
      <c r="O345" s="5"/>
      <c r="P345" s="5"/>
      <c r="Q345" s="5"/>
      <c r="R345" s="5"/>
      <c r="S345" s="5"/>
      <c r="T345" s="5"/>
      <c r="U345" s="5"/>
      <c r="V345" s="5"/>
      <c r="W345" s="5"/>
    </row>
    <row r="346" spans="1:23" ht="16" x14ac:dyDescent="0.2">
      <c r="A346" s="5"/>
      <c r="B346" s="6"/>
      <c r="C346" s="6"/>
      <c r="D346" s="6"/>
      <c r="E346" s="6"/>
      <c r="F346" s="5"/>
      <c r="G346" s="5"/>
      <c r="H346" s="5"/>
      <c r="I346" s="5"/>
      <c r="J346" s="5"/>
      <c r="K346" s="5"/>
      <c r="L346" s="5"/>
      <c r="M346" s="5"/>
      <c r="N346" s="5"/>
      <c r="O346" s="5"/>
      <c r="P346" s="5"/>
      <c r="Q346" s="5"/>
      <c r="R346" s="5"/>
      <c r="S346" s="5"/>
      <c r="T346" s="5"/>
      <c r="U346" s="5"/>
      <c r="V346" s="5"/>
      <c r="W346" s="5"/>
    </row>
    <row r="347" spans="1:23" ht="16" x14ac:dyDescent="0.2">
      <c r="A347" s="5"/>
      <c r="B347" s="6"/>
      <c r="C347" s="6"/>
      <c r="D347" s="6"/>
      <c r="E347" s="6"/>
      <c r="F347" s="5"/>
      <c r="G347" s="5"/>
      <c r="H347" s="5"/>
      <c r="I347" s="5"/>
      <c r="J347" s="5"/>
      <c r="K347" s="5"/>
      <c r="L347" s="5"/>
      <c r="M347" s="5"/>
      <c r="N347" s="5"/>
      <c r="O347" s="5"/>
      <c r="P347" s="5"/>
      <c r="Q347" s="5"/>
      <c r="R347" s="5"/>
      <c r="S347" s="5"/>
      <c r="T347" s="5"/>
      <c r="U347" s="5"/>
      <c r="V347" s="5"/>
      <c r="W347" s="5"/>
    </row>
    <row r="348" spans="1:23" ht="16" x14ac:dyDescent="0.2">
      <c r="A348" s="5"/>
      <c r="B348" s="6"/>
      <c r="C348" s="6"/>
      <c r="D348" s="6"/>
      <c r="E348" s="6"/>
      <c r="F348" s="5"/>
      <c r="G348" s="5"/>
      <c r="H348" s="5"/>
      <c r="I348" s="5"/>
      <c r="J348" s="5"/>
      <c r="K348" s="5"/>
      <c r="L348" s="5"/>
      <c r="M348" s="5"/>
      <c r="N348" s="5"/>
      <c r="O348" s="5"/>
      <c r="P348" s="5"/>
      <c r="Q348" s="5"/>
      <c r="R348" s="5"/>
      <c r="S348" s="5"/>
      <c r="T348" s="5"/>
      <c r="U348" s="5"/>
      <c r="V348" s="5"/>
      <c r="W348" s="5"/>
    </row>
    <row r="349" spans="1:23" ht="16" x14ac:dyDescent="0.2">
      <c r="A349" s="5"/>
      <c r="B349" s="6"/>
      <c r="C349" s="6"/>
      <c r="D349" s="6"/>
      <c r="E349" s="6"/>
      <c r="F349" s="5"/>
      <c r="G349" s="5"/>
      <c r="H349" s="5"/>
      <c r="I349" s="5"/>
      <c r="J349" s="5"/>
      <c r="K349" s="5"/>
      <c r="L349" s="5"/>
      <c r="M349" s="5"/>
      <c r="N349" s="5"/>
      <c r="O349" s="5"/>
      <c r="P349" s="5"/>
      <c r="Q349" s="5"/>
      <c r="R349" s="5"/>
      <c r="S349" s="5"/>
      <c r="T349" s="5"/>
      <c r="U349" s="5"/>
      <c r="V349" s="5"/>
      <c r="W349" s="5"/>
    </row>
    <row r="350" spans="1:23" ht="16" x14ac:dyDescent="0.2">
      <c r="A350" s="5"/>
      <c r="B350" s="6"/>
      <c r="C350" s="6"/>
      <c r="D350" s="6"/>
      <c r="E350" s="6"/>
      <c r="F350" s="5"/>
      <c r="G350" s="5"/>
      <c r="H350" s="5"/>
      <c r="I350" s="5"/>
      <c r="J350" s="5"/>
      <c r="K350" s="5"/>
      <c r="L350" s="5"/>
      <c r="M350" s="5"/>
      <c r="N350" s="5"/>
      <c r="O350" s="5"/>
      <c r="P350" s="5"/>
      <c r="Q350" s="5"/>
      <c r="R350" s="5"/>
      <c r="S350" s="5"/>
      <c r="T350" s="5"/>
      <c r="U350" s="5"/>
      <c r="V350" s="5"/>
      <c r="W350" s="5"/>
    </row>
    <row r="351" spans="1:23" ht="16" x14ac:dyDescent="0.2">
      <c r="A351" s="5"/>
      <c r="B351" s="6"/>
      <c r="C351" s="6"/>
      <c r="D351" s="6"/>
      <c r="E351" s="6"/>
      <c r="F351" s="5"/>
      <c r="G351" s="5"/>
      <c r="H351" s="5"/>
      <c r="I351" s="5"/>
      <c r="J351" s="5"/>
      <c r="K351" s="5"/>
      <c r="L351" s="5"/>
      <c r="M351" s="5"/>
      <c r="N351" s="5"/>
      <c r="O351" s="5"/>
      <c r="P351" s="5"/>
      <c r="Q351" s="5"/>
      <c r="R351" s="5"/>
      <c r="S351" s="5"/>
      <c r="T351" s="5"/>
      <c r="U351" s="5"/>
      <c r="V351" s="5"/>
      <c r="W351" s="5"/>
    </row>
    <row r="352" spans="1:23" ht="16" x14ac:dyDescent="0.2">
      <c r="A352" s="5"/>
      <c r="B352" s="6"/>
      <c r="C352" s="6"/>
      <c r="D352" s="6"/>
      <c r="E352" s="6"/>
      <c r="F352" s="5"/>
      <c r="G352" s="5"/>
      <c r="H352" s="5"/>
      <c r="I352" s="5"/>
      <c r="J352" s="5"/>
      <c r="K352" s="5"/>
      <c r="L352" s="5"/>
      <c r="M352" s="5"/>
      <c r="N352" s="5"/>
      <c r="O352" s="5"/>
      <c r="P352" s="5"/>
      <c r="Q352" s="5"/>
      <c r="R352" s="5"/>
      <c r="S352" s="5"/>
      <c r="T352" s="5"/>
      <c r="U352" s="5"/>
      <c r="V352" s="5"/>
      <c r="W352" s="5"/>
    </row>
    <row r="353" spans="1:23" ht="16" x14ac:dyDescent="0.2">
      <c r="A353" s="5"/>
      <c r="B353" s="6"/>
      <c r="C353" s="6"/>
      <c r="D353" s="6"/>
      <c r="E353" s="6"/>
      <c r="F353" s="5"/>
      <c r="G353" s="5"/>
      <c r="H353" s="5"/>
      <c r="I353" s="5"/>
      <c r="J353" s="5"/>
      <c r="K353" s="5"/>
      <c r="L353" s="5"/>
      <c r="M353" s="5"/>
      <c r="N353" s="5"/>
      <c r="O353" s="5"/>
      <c r="P353" s="5"/>
      <c r="Q353" s="5"/>
      <c r="R353" s="5"/>
      <c r="S353" s="5"/>
      <c r="T353" s="5"/>
      <c r="U353" s="5"/>
      <c r="V353" s="5"/>
      <c r="W353" s="5"/>
    </row>
    <row r="354" spans="1:23" ht="16" x14ac:dyDescent="0.2">
      <c r="A354" s="5"/>
      <c r="B354" s="6"/>
      <c r="C354" s="6"/>
      <c r="D354" s="6"/>
      <c r="E354" s="6"/>
      <c r="F354" s="5"/>
      <c r="G354" s="5"/>
      <c r="H354" s="5"/>
      <c r="I354" s="5"/>
      <c r="J354" s="5"/>
      <c r="K354" s="5"/>
      <c r="L354" s="5"/>
      <c r="M354" s="5"/>
      <c r="N354" s="5"/>
      <c r="O354" s="5"/>
      <c r="P354" s="5"/>
      <c r="Q354" s="5"/>
      <c r="R354" s="5"/>
      <c r="S354" s="5"/>
      <c r="T354" s="5"/>
      <c r="U354" s="5"/>
      <c r="V354" s="5"/>
      <c r="W354" s="5"/>
    </row>
    <row r="355" spans="1:23" ht="16" x14ac:dyDescent="0.2">
      <c r="A355" s="5"/>
      <c r="B355" s="6"/>
      <c r="C355" s="6"/>
      <c r="D355" s="6"/>
      <c r="E355" s="6"/>
      <c r="F355" s="5"/>
      <c r="G355" s="5"/>
      <c r="H355" s="5"/>
      <c r="I355" s="5"/>
      <c r="J355" s="5"/>
      <c r="K355" s="5"/>
      <c r="L355" s="5"/>
      <c r="M355" s="5"/>
      <c r="N355" s="5"/>
      <c r="O355" s="5"/>
      <c r="P355" s="5"/>
      <c r="Q355" s="5"/>
      <c r="R355" s="5"/>
      <c r="S355" s="5"/>
      <c r="T355" s="5"/>
      <c r="U355" s="5"/>
      <c r="V355" s="5"/>
      <c r="W355" s="5"/>
    </row>
    <row r="356" spans="1:23" ht="16" x14ac:dyDescent="0.2">
      <c r="A356" s="5"/>
      <c r="B356" s="6"/>
      <c r="C356" s="6"/>
      <c r="D356" s="6"/>
      <c r="E356" s="6"/>
      <c r="F356" s="5"/>
      <c r="G356" s="5"/>
      <c r="H356" s="5"/>
      <c r="I356" s="5"/>
      <c r="J356" s="5"/>
      <c r="K356" s="5"/>
      <c r="L356" s="5"/>
      <c r="M356" s="5"/>
      <c r="N356" s="5"/>
      <c r="O356" s="5"/>
      <c r="P356" s="5"/>
      <c r="Q356" s="5"/>
      <c r="R356" s="5"/>
      <c r="S356" s="5"/>
      <c r="T356" s="5"/>
      <c r="U356" s="5"/>
      <c r="V356" s="5"/>
      <c r="W356" s="5"/>
    </row>
    <row r="357" spans="1:23" ht="16" x14ac:dyDescent="0.2">
      <c r="A357" s="5"/>
      <c r="B357" s="6"/>
      <c r="C357" s="6"/>
      <c r="D357" s="6"/>
      <c r="E357" s="6"/>
      <c r="F357" s="5"/>
      <c r="G357" s="5"/>
      <c r="H357" s="5"/>
      <c r="I357" s="5"/>
      <c r="J357" s="5"/>
      <c r="K357" s="5"/>
      <c r="L357" s="5"/>
      <c r="M357" s="5"/>
      <c r="N357" s="5"/>
      <c r="O357" s="5"/>
      <c r="P357" s="5"/>
      <c r="Q357" s="5"/>
      <c r="R357" s="5"/>
      <c r="S357" s="5"/>
      <c r="T357" s="5"/>
      <c r="U357" s="5"/>
      <c r="V357" s="5"/>
      <c r="W357" s="5"/>
    </row>
    <row r="358" spans="1:23" ht="16" x14ac:dyDescent="0.2">
      <c r="A358" s="5"/>
      <c r="B358" s="6"/>
      <c r="C358" s="6"/>
      <c r="D358" s="6"/>
      <c r="E358" s="6"/>
      <c r="F358" s="5"/>
      <c r="G358" s="5"/>
      <c r="H358" s="5"/>
      <c r="I358" s="5"/>
      <c r="J358" s="5"/>
      <c r="K358" s="5"/>
      <c r="L358" s="5"/>
      <c r="M358" s="5"/>
      <c r="N358" s="5"/>
      <c r="O358" s="5"/>
      <c r="P358" s="5"/>
      <c r="Q358" s="5"/>
      <c r="R358" s="5"/>
      <c r="S358" s="5"/>
      <c r="T358" s="5"/>
      <c r="U358" s="5"/>
      <c r="V358" s="5"/>
      <c r="W358" s="5"/>
    </row>
    <row r="359" spans="1:23" ht="16" x14ac:dyDescent="0.2">
      <c r="A359" s="5"/>
      <c r="B359" s="6"/>
      <c r="C359" s="6"/>
      <c r="D359" s="6"/>
      <c r="E359" s="6"/>
      <c r="F359" s="5"/>
      <c r="G359" s="5"/>
      <c r="H359" s="5"/>
      <c r="I359" s="5"/>
      <c r="J359" s="5"/>
      <c r="K359" s="5"/>
      <c r="L359" s="5"/>
      <c r="M359" s="5"/>
      <c r="N359" s="5"/>
      <c r="O359" s="5"/>
      <c r="P359" s="5"/>
      <c r="Q359" s="5"/>
      <c r="R359" s="5"/>
      <c r="S359" s="5"/>
      <c r="T359" s="5"/>
      <c r="U359" s="5"/>
      <c r="V359" s="5"/>
      <c r="W359" s="5"/>
    </row>
    <row r="360" spans="1:23" ht="16" x14ac:dyDescent="0.2">
      <c r="A360" s="5"/>
      <c r="B360" s="6"/>
      <c r="C360" s="6"/>
      <c r="D360" s="6"/>
      <c r="E360" s="6"/>
      <c r="F360" s="5"/>
      <c r="G360" s="5"/>
      <c r="H360" s="5"/>
      <c r="I360" s="5"/>
      <c r="J360" s="5"/>
      <c r="K360" s="5"/>
      <c r="L360" s="5"/>
      <c r="M360" s="5"/>
      <c r="N360" s="5"/>
      <c r="O360" s="5"/>
      <c r="P360" s="5"/>
      <c r="Q360" s="5"/>
      <c r="R360" s="5"/>
      <c r="S360" s="5"/>
      <c r="T360" s="5"/>
      <c r="U360" s="5"/>
      <c r="V360" s="5"/>
      <c r="W360" s="5"/>
    </row>
    <row r="361" spans="1:23" ht="16" x14ac:dyDescent="0.2">
      <c r="A361" s="5"/>
      <c r="B361" s="6"/>
      <c r="C361" s="6"/>
      <c r="D361" s="6"/>
      <c r="E361" s="6"/>
      <c r="F361" s="5"/>
      <c r="G361" s="5"/>
      <c r="H361" s="5"/>
      <c r="I361" s="5"/>
      <c r="J361" s="5"/>
      <c r="K361" s="5"/>
      <c r="L361" s="5"/>
      <c r="M361" s="5"/>
      <c r="N361" s="5"/>
      <c r="O361" s="5"/>
      <c r="P361" s="5"/>
      <c r="Q361" s="5"/>
      <c r="R361" s="5"/>
      <c r="S361" s="5"/>
      <c r="T361" s="5"/>
      <c r="U361" s="5"/>
      <c r="V361" s="5"/>
      <c r="W361" s="5"/>
    </row>
    <row r="362" spans="1:23" ht="16" x14ac:dyDescent="0.2">
      <c r="A362" s="5"/>
      <c r="B362" s="6"/>
      <c r="C362" s="6"/>
      <c r="D362" s="6"/>
      <c r="E362" s="6"/>
      <c r="F362" s="5"/>
      <c r="G362" s="5"/>
      <c r="H362" s="5"/>
      <c r="I362" s="5"/>
      <c r="J362" s="5"/>
      <c r="K362" s="5"/>
      <c r="L362" s="5"/>
      <c r="M362" s="5"/>
      <c r="N362" s="5"/>
      <c r="O362" s="5"/>
      <c r="P362" s="5"/>
      <c r="Q362" s="5"/>
      <c r="R362" s="5"/>
      <c r="S362" s="5"/>
      <c r="T362" s="5"/>
      <c r="U362" s="5"/>
      <c r="V362" s="5"/>
      <c r="W362" s="5"/>
    </row>
    <row r="363" spans="1:23" ht="16" x14ac:dyDescent="0.2">
      <c r="A363" s="5"/>
      <c r="B363" s="6"/>
      <c r="C363" s="6"/>
      <c r="D363" s="6"/>
      <c r="E363" s="6"/>
      <c r="F363" s="5"/>
      <c r="G363" s="5"/>
      <c r="H363" s="5"/>
      <c r="I363" s="5"/>
      <c r="J363" s="5"/>
      <c r="K363" s="5"/>
      <c r="L363" s="5"/>
      <c r="M363" s="5"/>
      <c r="N363" s="5"/>
      <c r="O363" s="5"/>
      <c r="P363" s="5"/>
      <c r="Q363" s="5"/>
      <c r="R363" s="5"/>
      <c r="S363" s="5"/>
      <c r="T363" s="5"/>
      <c r="U363" s="5"/>
      <c r="V363" s="5"/>
      <c r="W363" s="5"/>
    </row>
    <row r="364" spans="1:23" ht="16" x14ac:dyDescent="0.2">
      <c r="A364" s="5"/>
      <c r="B364" s="6"/>
      <c r="C364" s="6"/>
      <c r="D364" s="6"/>
      <c r="E364" s="6"/>
      <c r="F364" s="5"/>
      <c r="G364" s="5"/>
      <c r="H364" s="5"/>
      <c r="I364" s="5"/>
      <c r="J364" s="5"/>
      <c r="K364" s="5"/>
      <c r="L364" s="5"/>
      <c r="M364" s="5"/>
      <c r="N364" s="5"/>
      <c r="O364" s="5"/>
      <c r="P364" s="5"/>
      <c r="Q364" s="5"/>
      <c r="R364" s="5"/>
      <c r="S364" s="5"/>
      <c r="T364" s="5"/>
      <c r="U364" s="5"/>
      <c r="V364" s="5"/>
      <c r="W364" s="5"/>
    </row>
    <row r="365" spans="1:23" ht="16" x14ac:dyDescent="0.2">
      <c r="A365" s="5"/>
      <c r="B365" s="6"/>
      <c r="C365" s="6"/>
      <c r="D365" s="6"/>
      <c r="E365" s="6"/>
      <c r="F365" s="5"/>
      <c r="G365" s="5"/>
      <c r="H365" s="5"/>
      <c r="I365" s="5"/>
      <c r="J365" s="5"/>
      <c r="K365" s="5"/>
      <c r="L365" s="5"/>
      <c r="M365" s="5"/>
      <c r="N365" s="5"/>
      <c r="O365" s="5"/>
      <c r="P365" s="5"/>
      <c r="Q365" s="5"/>
      <c r="R365" s="5"/>
      <c r="S365" s="5"/>
      <c r="T365" s="5"/>
      <c r="U365" s="5"/>
      <c r="V365" s="5"/>
      <c r="W365" s="5"/>
    </row>
    <row r="366" spans="1:23" ht="16" x14ac:dyDescent="0.2">
      <c r="A366" s="5"/>
      <c r="B366" s="6"/>
      <c r="C366" s="6"/>
      <c r="D366" s="6"/>
      <c r="E366" s="6"/>
      <c r="F366" s="5"/>
      <c r="G366" s="5"/>
      <c r="H366" s="5"/>
      <c r="I366" s="5"/>
      <c r="J366" s="5"/>
      <c r="K366" s="5"/>
      <c r="L366" s="5"/>
      <c r="M366" s="5"/>
      <c r="N366" s="5"/>
      <c r="O366" s="5"/>
      <c r="P366" s="5"/>
      <c r="Q366" s="5"/>
      <c r="R366" s="5"/>
      <c r="S366" s="5"/>
      <c r="T366" s="5"/>
      <c r="U366" s="5"/>
      <c r="V366" s="5"/>
      <c r="W366" s="5"/>
    </row>
    <row r="367" spans="1:23" ht="16" x14ac:dyDescent="0.2">
      <c r="A367" s="5"/>
      <c r="B367" s="6"/>
      <c r="C367" s="6"/>
      <c r="D367" s="6"/>
      <c r="E367" s="6"/>
      <c r="F367" s="5"/>
      <c r="G367" s="5"/>
      <c r="H367" s="5"/>
      <c r="I367" s="5"/>
      <c r="J367" s="5"/>
      <c r="K367" s="5"/>
      <c r="L367" s="5"/>
      <c r="M367" s="5"/>
      <c r="N367" s="5"/>
      <c r="O367" s="5"/>
      <c r="P367" s="5"/>
      <c r="Q367" s="5"/>
      <c r="R367" s="5"/>
      <c r="S367" s="5"/>
      <c r="T367" s="5"/>
      <c r="U367" s="5"/>
      <c r="V367" s="5"/>
      <c r="W367" s="5"/>
    </row>
    <row r="368" spans="1:23" ht="16" x14ac:dyDescent="0.2">
      <c r="A368" s="5"/>
      <c r="B368" s="6"/>
      <c r="C368" s="6"/>
      <c r="D368" s="6"/>
      <c r="E368" s="6"/>
      <c r="F368" s="5"/>
      <c r="G368" s="5"/>
      <c r="H368" s="5"/>
      <c r="I368" s="5"/>
      <c r="J368" s="5"/>
      <c r="K368" s="5"/>
      <c r="L368" s="5"/>
      <c r="M368" s="5"/>
      <c r="N368" s="5"/>
      <c r="O368" s="5"/>
      <c r="P368" s="5"/>
      <c r="Q368" s="5"/>
      <c r="R368" s="5"/>
      <c r="S368" s="5"/>
      <c r="T368" s="5"/>
      <c r="U368" s="5"/>
      <c r="V368" s="5"/>
      <c r="W368" s="5"/>
    </row>
    <row r="369" spans="1:23" ht="16" x14ac:dyDescent="0.2">
      <c r="A369" s="5"/>
      <c r="B369" s="6"/>
      <c r="C369" s="6"/>
      <c r="D369" s="6"/>
      <c r="E369" s="6"/>
      <c r="F369" s="5"/>
      <c r="G369" s="5"/>
      <c r="H369" s="5"/>
      <c r="I369" s="5"/>
      <c r="J369" s="5"/>
      <c r="K369" s="5"/>
      <c r="L369" s="5"/>
      <c r="M369" s="5"/>
      <c r="N369" s="5"/>
      <c r="O369" s="5"/>
      <c r="P369" s="5"/>
      <c r="Q369" s="5"/>
      <c r="R369" s="5"/>
      <c r="S369" s="5"/>
      <c r="T369" s="5"/>
      <c r="U369" s="5"/>
      <c r="V369" s="5"/>
      <c r="W369" s="5"/>
    </row>
    <row r="370" spans="1:23" ht="16" x14ac:dyDescent="0.2">
      <c r="A370" s="5"/>
      <c r="B370" s="6"/>
      <c r="C370" s="6"/>
      <c r="D370" s="6"/>
      <c r="E370" s="6"/>
      <c r="F370" s="5"/>
      <c r="G370" s="5"/>
      <c r="H370" s="5"/>
      <c r="I370" s="5"/>
      <c r="J370" s="5"/>
      <c r="K370" s="5"/>
      <c r="L370" s="5"/>
      <c r="M370" s="5"/>
      <c r="N370" s="5"/>
      <c r="O370" s="5"/>
      <c r="P370" s="5"/>
      <c r="Q370" s="5"/>
      <c r="R370" s="5"/>
      <c r="S370" s="5"/>
      <c r="T370" s="5"/>
      <c r="U370" s="5"/>
      <c r="V370" s="5"/>
      <c r="W370" s="5"/>
    </row>
    <row r="371" spans="1:23" ht="16" x14ac:dyDescent="0.2">
      <c r="A371" s="5"/>
      <c r="B371" s="6"/>
      <c r="C371" s="6"/>
      <c r="D371" s="6"/>
      <c r="E371" s="6"/>
      <c r="F371" s="5"/>
      <c r="G371" s="5"/>
      <c r="H371" s="5"/>
      <c r="I371" s="5"/>
      <c r="J371" s="5"/>
      <c r="K371" s="5"/>
      <c r="L371" s="5"/>
      <c r="M371" s="5"/>
      <c r="N371" s="5"/>
      <c r="O371" s="5"/>
      <c r="P371" s="5"/>
      <c r="Q371" s="5"/>
      <c r="R371" s="5"/>
      <c r="S371" s="5"/>
      <c r="T371" s="5"/>
      <c r="U371" s="5"/>
      <c r="V371" s="5"/>
      <c r="W371" s="5"/>
    </row>
    <row r="372" spans="1:23" ht="16" x14ac:dyDescent="0.2">
      <c r="A372" s="5"/>
      <c r="B372" s="6"/>
      <c r="C372" s="6"/>
      <c r="D372" s="6"/>
      <c r="E372" s="6"/>
      <c r="F372" s="5"/>
      <c r="G372" s="5"/>
      <c r="H372" s="5"/>
      <c r="I372" s="5"/>
      <c r="J372" s="5"/>
      <c r="K372" s="5"/>
      <c r="L372" s="5"/>
      <c r="M372" s="5"/>
      <c r="N372" s="5"/>
      <c r="O372" s="5"/>
      <c r="P372" s="5"/>
      <c r="Q372" s="5"/>
      <c r="R372" s="5"/>
      <c r="S372" s="5"/>
      <c r="T372" s="5"/>
      <c r="U372" s="5"/>
      <c r="V372" s="5"/>
      <c r="W372" s="5"/>
    </row>
    <row r="373" spans="1:23" ht="16" x14ac:dyDescent="0.2">
      <c r="A373" s="5"/>
      <c r="B373" s="6"/>
      <c r="C373" s="6"/>
      <c r="D373" s="6"/>
      <c r="E373" s="6"/>
      <c r="F373" s="5"/>
      <c r="G373" s="5"/>
      <c r="H373" s="5"/>
      <c r="I373" s="5"/>
      <c r="J373" s="5"/>
      <c r="K373" s="5"/>
      <c r="L373" s="5"/>
      <c r="M373" s="5"/>
      <c r="N373" s="5"/>
      <c r="O373" s="5"/>
      <c r="P373" s="5"/>
      <c r="Q373" s="5"/>
      <c r="R373" s="5"/>
      <c r="S373" s="5"/>
      <c r="T373" s="5"/>
      <c r="U373" s="5"/>
      <c r="V373" s="5"/>
      <c r="W373" s="5"/>
    </row>
    <row r="374" spans="1:23" ht="16" x14ac:dyDescent="0.2">
      <c r="A374" s="5"/>
      <c r="B374" s="6"/>
      <c r="C374" s="6"/>
      <c r="D374" s="6"/>
      <c r="E374" s="6"/>
      <c r="F374" s="5"/>
      <c r="G374" s="5"/>
      <c r="H374" s="5"/>
      <c r="I374" s="5"/>
      <c r="J374" s="5"/>
      <c r="K374" s="5"/>
      <c r="L374" s="5"/>
      <c r="M374" s="5"/>
      <c r="N374" s="5"/>
      <c r="O374" s="5"/>
      <c r="P374" s="5"/>
      <c r="Q374" s="5"/>
      <c r="R374" s="5"/>
      <c r="S374" s="5"/>
      <c r="T374" s="5"/>
      <c r="U374" s="5"/>
      <c r="V374" s="5"/>
      <c r="W374" s="5"/>
    </row>
    <row r="375" spans="1:23" ht="16" x14ac:dyDescent="0.2">
      <c r="A375" s="5"/>
      <c r="B375" s="6"/>
      <c r="C375" s="6"/>
      <c r="D375" s="6"/>
      <c r="E375" s="6"/>
      <c r="F375" s="5"/>
      <c r="G375" s="5"/>
      <c r="H375" s="5"/>
      <c r="I375" s="5"/>
      <c r="J375" s="5"/>
      <c r="K375" s="5"/>
      <c r="L375" s="5"/>
      <c r="M375" s="5"/>
      <c r="N375" s="5"/>
      <c r="O375" s="5"/>
      <c r="P375" s="5"/>
      <c r="Q375" s="5"/>
      <c r="R375" s="5"/>
      <c r="S375" s="5"/>
      <c r="T375" s="5"/>
      <c r="U375" s="5"/>
      <c r="V375" s="5"/>
      <c r="W375" s="5"/>
    </row>
    <row r="376" spans="1:23" ht="16" x14ac:dyDescent="0.2">
      <c r="A376" s="5"/>
      <c r="B376" s="6"/>
      <c r="C376" s="6"/>
      <c r="D376" s="6"/>
      <c r="E376" s="6"/>
      <c r="F376" s="5"/>
      <c r="G376" s="5"/>
      <c r="H376" s="5"/>
      <c r="I376" s="5"/>
      <c r="J376" s="5"/>
      <c r="K376" s="5"/>
      <c r="L376" s="5"/>
      <c r="M376" s="5"/>
      <c r="N376" s="5"/>
      <c r="O376" s="5"/>
      <c r="P376" s="5"/>
      <c r="Q376" s="5"/>
      <c r="R376" s="5"/>
      <c r="S376" s="5"/>
      <c r="T376" s="5"/>
      <c r="U376" s="5"/>
      <c r="V376" s="5"/>
      <c r="W376" s="5"/>
    </row>
    <row r="377" spans="1:23" ht="16" x14ac:dyDescent="0.2">
      <c r="A377" s="5"/>
      <c r="B377" s="6"/>
      <c r="C377" s="6"/>
      <c r="D377" s="6"/>
      <c r="E377" s="6"/>
      <c r="F377" s="5"/>
      <c r="G377" s="5"/>
      <c r="H377" s="5"/>
      <c r="I377" s="5"/>
      <c r="J377" s="5"/>
      <c r="K377" s="5"/>
      <c r="L377" s="5"/>
      <c r="M377" s="5"/>
      <c r="N377" s="5"/>
      <c r="O377" s="5"/>
      <c r="P377" s="5"/>
      <c r="Q377" s="5"/>
      <c r="R377" s="5"/>
      <c r="S377" s="5"/>
      <c r="T377" s="5"/>
      <c r="U377" s="5"/>
      <c r="V377" s="5"/>
      <c r="W377" s="5"/>
    </row>
    <row r="378" spans="1:23" ht="16" x14ac:dyDescent="0.2">
      <c r="A378" s="5"/>
      <c r="B378" s="6"/>
      <c r="C378" s="6"/>
      <c r="D378" s="6"/>
      <c r="E378" s="6"/>
      <c r="F378" s="5"/>
      <c r="G378" s="5"/>
      <c r="H378" s="5"/>
      <c r="I378" s="5"/>
      <c r="J378" s="5"/>
      <c r="K378" s="5"/>
      <c r="L378" s="5"/>
      <c r="M378" s="5"/>
      <c r="N378" s="5"/>
      <c r="O378" s="5"/>
      <c r="P378" s="5"/>
      <c r="Q378" s="5"/>
      <c r="R378" s="5"/>
      <c r="S378" s="5"/>
      <c r="T378" s="5"/>
      <c r="U378" s="5"/>
      <c r="V378" s="5"/>
      <c r="W378" s="5"/>
    </row>
    <row r="379" spans="1:23" ht="16" x14ac:dyDescent="0.2">
      <c r="A379" s="5"/>
      <c r="B379" s="6"/>
      <c r="C379" s="6"/>
      <c r="D379" s="6"/>
      <c r="E379" s="6"/>
      <c r="F379" s="5"/>
      <c r="G379" s="5"/>
      <c r="H379" s="5"/>
      <c r="I379" s="5"/>
      <c r="J379" s="5"/>
      <c r="K379" s="5"/>
      <c r="L379" s="5"/>
      <c r="M379" s="5"/>
      <c r="N379" s="5"/>
      <c r="O379" s="5"/>
      <c r="P379" s="5"/>
      <c r="Q379" s="5"/>
      <c r="R379" s="5"/>
      <c r="S379" s="5"/>
      <c r="T379" s="5"/>
      <c r="U379" s="5"/>
      <c r="V379" s="5"/>
      <c r="W379" s="5"/>
    </row>
    <row r="380" spans="1:23" ht="16" x14ac:dyDescent="0.2">
      <c r="A380" s="5"/>
      <c r="B380" s="6"/>
      <c r="C380" s="6"/>
      <c r="D380" s="6"/>
      <c r="E380" s="6"/>
      <c r="F380" s="5"/>
      <c r="G380" s="5"/>
      <c r="H380" s="5"/>
      <c r="I380" s="5"/>
      <c r="J380" s="5"/>
      <c r="K380" s="5"/>
      <c r="L380" s="5"/>
      <c r="M380" s="5"/>
      <c r="N380" s="5"/>
      <c r="O380" s="5"/>
      <c r="P380" s="5"/>
      <c r="Q380" s="5"/>
      <c r="R380" s="5"/>
      <c r="S380" s="5"/>
      <c r="T380" s="5"/>
      <c r="U380" s="5"/>
      <c r="V380" s="5"/>
      <c r="W380" s="5"/>
    </row>
    <row r="381" spans="1:23" ht="16" x14ac:dyDescent="0.2">
      <c r="A381" s="5"/>
      <c r="B381" s="6"/>
      <c r="C381" s="6"/>
      <c r="D381" s="6"/>
      <c r="E381" s="6"/>
      <c r="F381" s="5"/>
      <c r="G381" s="5"/>
      <c r="H381" s="5"/>
      <c r="I381" s="5"/>
      <c r="J381" s="5"/>
      <c r="K381" s="5"/>
      <c r="L381" s="5"/>
      <c r="M381" s="5"/>
      <c r="N381" s="5"/>
      <c r="O381" s="5"/>
      <c r="P381" s="5"/>
      <c r="Q381" s="5"/>
      <c r="R381" s="5"/>
      <c r="S381" s="5"/>
      <c r="T381" s="5"/>
      <c r="U381" s="5"/>
      <c r="V381" s="5"/>
      <c r="W381" s="5"/>
    </row>
    <row r="382" spans="1:23" ht="16" x14ac:dyDescent="0.2">
      <c r="A382" s="5"/>
      <c r="B382" s="6"/>
      <c r="C382" s="6"/>
      <c r="D382" s="6"/>
      <c r="E382" s="6"/>
      <c r="F382" s="5"/>
      <c r="G382" s="5"/>
      <c r="H382" s="5"/>
      <c r="I382" s="5"/>
      <c r="J382" s="5"/>
      <c r="K382" s="5"/>
      <c r="L382" s="5"/>
      <c r="M382" s="5"/>
      <c r="N382" s="5"/>
      <c r="O382" s="5"/>
      <c r="P382" s="5"/>
      <c r="Q382" s="5"/>
      <c r="R382" s="5"/>
      <c r="S382" s="5"/>
      <c r="T382" s="5"/>
      <c r="U382" s="5"/>
      <c r="V382" s="5"/>
      <c r="W382" s="5"/>
    </row>
    <row r="383" spans="1:23" ht="16" x14ac:dyDescent="0.2">
      <c r="A383" s="5"/>
      <c r="B383" s="6"/>
      <c r="C383" s="6"/>
      <c r="D383" s="6"/>
      <c r="E383" s="6"/>
      <c r="F383" s="5"/>
      <c r="G383" s="5"/>
      <c r="H383" s="5"/>
      <c r="I383" s="5"/>
      <c r="J383" s="5"/>
      <c r="K383" s="5"/>
      <c r="L383" s="5"/>
      <c r="M383" s="5"/>
      <c r="N383" s="5"/>
      <c r="O383" s="5"/>
      <c r="P383" s="5"/>
      <c r="Q383" s="5"/>
      <c r="R383" s="5"/>
      <c r="S383" s="5"/>
      <c r="T383" s="5"/>
      <c r="U383" s="5"/>
      <c r="V383" s="5"/>
      <c r="W383" s="5"/>
    </row>
    <row r="384" spans="1:23" ht="16" x14ac:dyDescent="0.2">
      <c r="A384" s="5"/>
      <c r="B384" s="6"/>
      <c r="C384" s="6"/>
      <c r="D384" s="6"/>
      <c r="E384" s="6"/>
      <c r="F384" s="5"/>
      <c r="G384" s="5"/>
      <c r="H384" s="5"/>
      <c r="I384" s="5"/>
      <c r="J384" s="5"/>
      <c r="K384" s="5"/>
      <c r="L384" s="5"/>
      <c r="M384" s="5"/>
      <c r="N384" s="5"/>
      <c r="O384" s="5"/>
      <c r="P384" s="5"/>
      <c r="Q384" s="5"/>
      <c r="R384" s="5"/>
      <c r="S384" s="5"/>
      <c r="T384" s="5"/>
      <c r="U384" s="5"/>
      <c r="V384" s="5"/>
      <c r="W384" s="5"/>
    </row>
    <row r="385" spans="1:23" ht="16" x14ac:dyDescent="0.2">
      <c r="A385" s="5"/>
      <c r="B385" s="6"/>
      <c r="C385" s="6"/>
      <c r="D385" s="6"/>
      <c r="E385" s="6"/>
      <c r="F385" s="5"/>
      <c r="G385" s="5"/>
      <c r="H385" s="5"/>
      <c r="I385" s="5"/>
      <c r="J385" s="5"/>
      <c r="K385" s="5"/>
      <c r="L385" s="5"/>
      <c r="M385" s="5"/>
      <c r="N385" s="5"/>
      <c r="O385" s="5"/>
      <c r="P385" s="5"/>
      <c r="Q385" s="5"/>
      <c r="R385" s="5"/>
      <c r="S385" s="5"/>
      <c r="T385" s="5"/>
      <c r="U385" s="5"/>
      <c r="V385" s="5"/>
      <c r="W385" s="5"/>
    </row>
    <row r="386" spans="1:23" ht="16" x14ac:dyDescent="0.2">
      <c r="A386" s="5"/>
      <c r="B386" s="6"/>
      <c r="C386" s="6"/>
      <c r="D386" s="6"/>
      <c r="E386" s="6"/>
      <c r="F386" s="5"/>
      <c r="G386" s="5"/>
      <c r="H386" s="5"/>
      <c r="I386" s="5"/>
      <c r="J386" s="5"/>
      <c r="K386" s="5"/>
      <c r="L386" s="5"/>
      <c r="M386" s="5"/>
      <c r="N386" s="5"/>
      <c r="O386" s="5"/>
      <c r="P386" s="5"/>
      <c r="Q386" s="5"/>
      <c r="R386" s="5"/>
      <c r="S386" s="5"/>
      <c r="T386" s="5"/>
      <c r="U386" s="5"/>
      <c r="V386" s="5"/>
      <c r="W386" s="5"/>
    </row>
    <row r="387" spans="1:23" ht="16" x14ac:dyDescent="0.2">
      <c r="A387" s="5"/>
      <c r="B387" s="6"/>
      <c r="C387" s="6"/>
      <c r="D387" s="6"/>
      <c r="E387" s="6"/>
      <c r="F387" s="5"/>
      <c r="G387" s="5"/>
      <c r="H387" s="5"/>
      <c r="I387" s="5"/>
      <c r="J387" s="5"/>
      <c r="K387" s="5"/>
      <c r="L387" s="5"/>
      <c r="M387" s="5"/>
      <c r="N387" s="5"/>
      <c r="O387" s="5"/>
      <c r="P387" s="5"/>
      <c r="Q387" s="5"/>
      <c r="R387" s="5"/>
      <c r="S387" s="5"/>
      <c r="T387" s="5"/>
      <c r="U387" s="5"/>
      <c r="V387" s="5"/>
      <c r="W387" s="5"/>
    </row>
    <row r="388" spans="1:23" ht="16" x14ac:dyDescent="0.2">
      <c r="A388" s="5"/>
      <c r="B388" s="6"/>
      <c r="C388" s="6"/>
      <c r="D388" s="6"/>
      <c r="E388" s="6"/>
      <c r="F388" s="5"/>
      <c r="G388" s="5"/>
      <c r="H388" s="5"/>
      <c r="I388" s="5"/>
      <c r="J388" s="5"/>
      <c r="K388" s="5"/>
      <c r="L388" s="5"/>
      <c r="M388" s="5"/>
      <c r="N388" s="5"/>
      <c r="O388" s="5"/>
      <c r="P388" s="5"/>
      <c r="Q388" s="5"/>
      <c r="R388" s="5"/>
      <c r="S388" s="5"/>
      <c r="T388" s="5"/>
      <c r="U388" s="5"/>
      <c r="V388" s="5"/>
      <c r="W388" s="5"/>
    </row>
    <row r="389" spans="1:23" ht="16" x14ac:dyDescent="0.2">
      <c r="A389" s="5"/>
      <c r="B389" s="6"/>
      <c r="C389" s="6"/>
      <c r="D389" s="6"/>
      <c r="E389" s="6"/>
      <c r="F389" s="5"/>
      <c r="G389" s="5"/>
      <c r="H389" s="5"/>
      <c r="I389" s="5"/>
      <c r="J389" s="5"/>
      <c r="K389" s="5"/>
      <c r="L389" s="5"/>
      <c r="M389" s="5"/>
      <c r="N389" s="5"/>
      <c r="O389" s="5"/>
      <c r="P389" s="5"/>
      <c r="Q389" s="5"/>
      <c r="R389" s="5"/>
      <c r="S389" s="5"/>
      <c r="T389" s="5"/>
      <c r="U389" s="5"/>
      <c r="V389" s="5"/>
      <c r="W389" s="5"/>
    </row>
    <row r="390" spans="1:23" ht="16" x14ac:dyDescent="0.2">
      <c r="A390" s="5"/>
      <c r="B390" s="6"/>
      <c r="C390" s="6"/>
      <c r="D390" s="6"/>
      <c r="E390" s="6"/>
      <c r="F390" s="5"/>
      <c r="G390" s="5"/>
      <c r="H390" s="5"/>
      <c r="I390" s="5"/>
      <c r="J390" s="5"/>
      <c r="K390" s="5"/>
      <c r="L390" s="5"/>
      <c r="M390" s="5"/>
      <c r="N390" s="5"/>
      <c r="O390" s="5"/>
      <c r="P390" s="5"/>
      <c r="Q390" s="5"/>
      <c r="R390" s="5"/>
      <c r="S390" s="5"/>
      <c r="T390" s="5"/>
      <c r="U390" s="5"/>
      <c r="V390" s="5"/>
      <c r="W390" s="5"/>
    </row>
    <row r="391" spans="1:23" ht="16" x14ac:dyDescent="0.2">
      <c r="A391" s="5"/>
      <c r="B391" s="6"/>
      <c r="C391" s="6"/>
      <c r="D391" s="6"/>
      <c r="E391" s="6"/>
      <c r="F391" s="5"/>
      <c r="G391" s="5"/>
      <c r="H391" s="5"/>
      <c r="I391" s="5"/>
      <c r="J391" s="5"/>
      <c r="K391" s="5"/>
      <c r="L391" s="5"/>
      <c r="M391" s="5"/>
      <c r="N391" s="5"/>
      <c r="O391" s="5"/>
      <c r="P391" s="5"/>
      <c r="Q391" s="5"/>
      <c r="R391" s="5"/>
      <c r="S391" s="5"/>
      <c r="T391" s="5"/>
      <c r="U391" s="5"/>
      <c r="V391" s="5"/>
      <c r="W391" s="5"/>
    </row>
    <row r="392" spans="1:23" ht="16" x14ac:dyDescent="0.2">
      <c r="A392" s="5"/>
      <c r="B392" s="6"/>
      <c r="C392" s="6"/>
      <c r="D392" s="6"/>
      <c r="E392" s="6"/>
      <c r="F392" s="5"/>
      <c r="G392" s="5"/>
      <c r="H392" s="5"/>
      <c r="I392" s="5"/>
      <c r="J392" s="5"/>
      <c r="K392" s="5"/>
      <c r="L392" s="5"/>
      <c r="M392" s="5"/>
      <c r="N392" s="5"/>
      <c r="O392" s="5"/>
      <c r="P392" s="5"/>
      <c r="Q392" s="5"/>
      <c r="R392" s="5"/>
      <c r="S392" s="5"/>
      <c r="T392" s="5"/>
      <c r="U392" s="5"/>
      <c r="V392" s="5"/>
      <c r="W392" s="5"/>
    </row>
    <row r="393" spans="1:23" ht="16" x14ac:dyDescent="0.2">
      <c r="A393" s="5"/>
      <c r="B393" s="6"/>
      <c r="C393" s="6"/>
      <c r="D393" s="6"/>
      <c r="E393" s="6"/>
      <c r="F393" s="5"/>
      <c r="G393" s="5"/>
      <c r="H393" s="5"/>
      <c r="I393" s="5"/>
      <c r="J393" s="5"/>
      <c r="K393" s="5"/>
      <c r="L393" s="5"/>
      <c r="M393" s="5"/>
      <c r="N393" s="5"/>
      <c r="O393" s="5"/>
      <c r="P393" s="5"/>
      <c r="Q393" s="5"/>
      <c r="R393" s="5"/>
      <c r="S393" s="5"/>
      <c r="T393" s="5"/>
      <c r="U393" s="5"/>
      <c r="V393" s="5"/>
      <c r="W393" s="5"/>
    </row>
    <row r="394" spans="1:23" ht="16" x14ac:dyDescent="0.2">
      <c r="A394" s="5"/>
      <c r="B394" s="6"/>
      <c r="C394" s="6"/>
      <c r="D394" s="6"/>
      <c r="E394" s="6"/>
      <c r="F394" s="5"/>
      <c r="G394" s="5"/>
      <c r="H394" s="5"/>
      <c r="I394" s="5"/>
      <c r="J394" s="5"/>
      <c r="K394" s="5"/>
      <c r="L394" s="5"/>
      <c r="M394" s="5"/>
      <c r="N394" s="5"/>
      <c r="O394" s="5"/>
      <c r="P394" s="5"/>
      <c r="Q394" s="5"/>
      <c r="R394" s="5"/>
      <c r="S394" s="5"/>
      <c r="T394" s="5"/>
      <c r="U394" s="5"/>
      <c r="V394" s="5"/>
      <c r="W394" s="5"/>
    </row>
    <row r="395" spans="1:23" ht="16" x14ac:dyDescent="0.2">
      <c r="A395" s="5"/>
      <c r="B395" s="6"/>
      <c r="C395" s="6"/>
      <c r="D395" s="6"/>
      <c r="E395" s="6"/>
      <c r="F395" s="5"/>
      <c r="G395" s="5"/>
      <c r="H395" s="5"/>
      <c r="I395" s="5"/>
      <c r="J395" s="5"/>
      <c r="K395" s="5"/>
      <c r="L395" s="5"/>
      <c r="M395" s="5"/>
      <c r="N395" s="5"/>
      <c r="O395" s="5"/>
      <c r="P395" s="5"/>
      <c r="Q395" s="5"/>
      <c r="R395" s="5"/>
      <c r="S395" s="5"/>
      <c r="T395" s="5"/>
      <c r="U395" s="5"/>
      <c r="V395" s="5"/>
      <c r="W395" s="5"/>
    </row>
    <row r="396" spans="1:23" ht="16" x14ac:dyDescent="0.2">
      <c r="A396" s="5"/>
      <c r="B396" s="6"/>
      <c r="C396" s="6"/>
      <c r="D396" s="6"/>
      <c r="E396" s="6"/>
      <c r="F396" s="5"/>
      <c r="G396" s="5"/>
      <c r="H396" s="5"/>
      <c r="I396" s="5"/>
      <c r="J396" s="5"/>
      <c r="K396" s="5"/>
      <c r="L396" s="5"/>
      <c r="M396" s="5"/>
      <c r="N396" s="5"/>
      <c r="O396" s="5"/>
      <c r="P396" s="5"/>
      <c r="Q396" s="5"/>
      <c r="R396" s="5"/>
      <c r="S396" s="5"/>
      <c r="T396" s="5"/>
      <c r="U396" s="5"/>
      <c r="V396" s="5"/>
      <c r="W396" s="5"/>
    </row>
    <row r="397" spans="1:23" ht="16" x14ac:dyDescent="0.2">
      <c r="A397" s="5"/>
      <c r="B397" s="6"/>
      <c r="C397" s="6"/>
      <c r="D397" s="6"/>
      <c r="E397" s="6"/>
      <c r="F397" s="5"/>
      <c r="G397" s="5"/>
      <c r="H397" s="5"/>
      <c r="I397" s="5"/>
      <c r="J397" s="5"/>
      <c r="K397" s="5"/>
      <c r="L397" s="5"/>
      <c r="M397" s="5"/>
      <c r="N397" s="5"/>
      <c r="O397" s="5"/>
      <c r="P397" s="5"/>
      <c r="Q397" s="5"/>
      <c r="R397" s="5"/>
      <c r="S397" s="5"/>
      <c r="T397" s="5"/>
      <c r="U397" s="5"/>
      <c r="V397" s="5"/>
      <c r="W397" s="5"/>
    </row>
    <row r="398" spans="1:23" ht="16" x14ac:dyDescent="0.2">
      <c r="A398" s="5"/>
      <c r="B398" s="6"/>
      <c r="C398" s="6"/>
      <c r="D398" s="6"/>
      <c r="E398" s="6"/>
      <c r="F398" s="5"/>
      <c r="G398" s="5"/>
      <c r="H398" s="5"/>
      <c r="I398" s="5"/>
      <c r="J398" s="5"/>
      <c r="K398" s="5"/>
      <c r="L398" s="5"/>
      <c r="M398" s="5"/>
      <c r="N398" s="5"/>
      <c r="O398" s="5"/>
      <c r="P398" s="5"/>
      <c r="Q398" s="5"/>
      <c r="R398" s="5"/>
      <c r="S398" s="5"/>
      <c r="T398" s="5"/>
      <c r="U398" s="5"/>
      <c r="V398" s="5"/>
      <c r="W398" s="5"/>
    </row>
    <row r="399" spans="1:23" ht="16" x14ac:dyDescent="0.2">
      <c r="A399" s="5"/>
      <c r="B399" s="6"/>
      <c r="C399" s="6"/>
      <c r="D399" s="6"/>
      <c r="E399" s="6"/>
      <c r="F399" s="5"/>
      <c r="G399" s="5"/>
      <c r="H399" s="5"/>
      <c r="I399" s="5"/>
      <c r="J399" s="5"/>
      <c r="K399" s="5"/>
      <c r="L399" s="5"/>
      <c r="M399" s="5"/>
      <c r="N399" s="5"/>
      <c r="O399" s="5"/>
      <c r="P399" s="5"/>
      <c r="Q399" s="5"/>
      <c r="R399" s="5"/>
      <c r="S399" s="5"/>
      <c r="T399" s="5"/>
      <c r="U399" s="5"/>
      <c r="V399" s="5"/>
      <c r="W399" s="5"/>
    </row>
    <row r="400" spans="1:23" ht="16" x14ac:dyDescent="0.2">
      <c r="A400" s="5"/>
      <c r="B400" s="6"/>
      <c r="C400" s="6"/>
      <c r="D400" s="6"/>
      <c r="E400" s="6"/>
      <c r="F400" s="5"/>
      <c r="G400" s="5"/>
      <c r="H400" s="5"/>
      <c r="I400" s="5"/>
      <c r="J400" s="5"/>
      <c r="K400" s="5"/>
      <c r="L400" s="5"/>
      <c r="M400" s="5"/>
      <c r="N400" s="5"/>
      <c r="O400" s="5"/>
      <c r="P400" s="5"/>
      <c r="Q400" s="5"/>
      <c r="R400" s="5"/>
      <c r="S400" s="5"/>
      <c r="T400" s="5"/>
      <c r="U400" s="5"/>
      <c r="V400" s="5"/>
      <c r="W400" s="5"/>
    </row>
    <row r="401" spans="1:23" ht="16" x14ac:dyDescent="0.2">
      <c r="A401" s="5"/>
      <c r="B401" s="6"/>
      <c r="C401" s="6"/>
      <c r="D401" s="6"/>
      <c r="E401" s="6"/>
      <c r="F401" s="5"/>
      <c r="G401" s="5"/>
      <c r="H401" s="5"/>
      <c r="I401" s="5"/>
      <c r="J401" s="5"/>
      <c r="K401" s="5"/>
      <c r="L401" s="5"/>
      <c r="M401" s="5"/>
      <c r="N401" s="5"/>
      <c r="O401" s="5"/>
      <c r="P401" s="5"/>
      <c r="Q401" s="5"/>
      <c r="R401" s="5"/>
      <c r="S401" s="5"/>
      <c r="T401" s="5"/>
      <c r="U401" s="5"/>
      <c r="V401" s="5"/>
      <c r="W401" s="5"/>
    </row>
    <row r="402" spans="1:23" ht="16" x14ac:dyDescent="0.2">
      <c r="A402" s="5"/>
      <c r="B402" s="6"/>
      <c r="C402" s="6"/>
      <c r="D402" s="6"/>
      <c r="E402" s="6"/>
      <c r="F402" s="5"/>
      <c r="G402" s="5"/>
      <c r="H402" s="5"/>
      <c r="I402" s="5"/>
      <c r="J402" s="5"/>
      <c r="K402" s="5"/>
      <c r="L402" s="5"/>
      <c r="M402" s="5"/>
      <c r="N402" s="5"/>
      <c r="O402" s="5"/>
      <c r="P402" s="5"/>
      <c r="Q402" s="5"/>
      <c r="R402" s="5"/>
      <c r="S402" s="5"/>
      <c r="T402" s="5"/>
      <c r="U402" s="5"/>
      <c r="V402" s="5"/>
      <c r="W402" s="5"/>
    </row>
    <row r="403" spans="1:23" ht="16" x14ac:dyDescent="0.2">
      <c r="A403" s="5"/>
      <c r="B403" s="6"/>
      <c r="C403" s="6"/>
      <c r="D403" s="6"/>
      <c r="E403" s="6"/>
      <c r="F403" s="5"/>
      <c r="G403" s="5"/>
      <c r="H403" s="5"/>
      <c r="I403" s="5"/>
      <c r="J403" s="5"/>
      <c r="K403" s="5"/>
      <c r="L403" s="5"/>
      <c r="M403" s="5"/>
      <c r="N403" s="5"/>
      <c r="O403" s="5"/>
      <c r="P403" s="5"/>
      <c r="Q403" s="5"/>
      <c r="R403" s="5"/>
      <c r="S403" s="5"/>
      <c r="T403" s="5"/>
      <c r="U403" s="5"/>
      <c r="V403" s="5"/>
      <c r="W403" s="5"/>
    </row>
    <row r="404" spans="1:23" ht="16" x14ac:dyDescent="0.2">
      <c r="A404" s="5"/>
      <c r="B404" s="6"/>
      <c r="C404" s="6"/>
      <c r="D404" s="6"/>
      <c r="E404" s="6"/>
      <c r="F404" s="5"/>
      <c r="G404" s="5"/>
      <c r="H404" s="5"/>
      <c r="I404" s="5"/>
      <c r="J404" s="5"/>
      <c r="K404" s="5"/>
      <c r="L404" s="5"/>
      <c r="M404" s="5"/>
      <c r="N404" s="5"/>
      <c r="O404" s="5"/>
      <c r="P404" s="5"/>
      <c r="Q404" s="5"/>
      <c r="R404" s="5"/>
      <c r="S404" s="5"/>
      <c r="T404" s="5"/>
      <c r="U404" s="5"/>
      <c r="V404" s="5"/>
      <c r="W404" s="5"/>
    </row>
    <row r="405" spans="1:23" ht="16" x14ac:dyDescent="0.2">
      <c r="A405" s="5"/>
      <c r="B405" s="6"/>
      <c r="C405" s="6"/>
      <c r="D405" s="6"/>
      <c r="E405" s="6"/>
      <c r="F405" s="5"/>
      <c r="G405" s="5"/>
      <c r="H405" s="5"/>
      <c r="I405" s="5"/>
      <c r="J405" s="5"/>
      <c r="K405" s="5"/>
      <c r="L405" s="5"/>
      <c r="M405" s="5"/>
      <c r="N405" s="5"/>
      <c r="O405" s="5"/>
      <c r="P405" s="5"/>
      <c r="Q405" s="5"/>
      <c r="R405" s="5"/>
      <c r="S405" s="5"/>
      <c r="T405" s="5"/>
      <c r="U405" s="5"/>
      <c r="V405" s="5"/>
      <c r="W405" s="5"/>
    </row>
    <row r="406" spans="1:23" ht="16" x14ac:dyDescent="0.2">
      <c r="A406" s="5"/>
      <c r="B406" s="6"/>
      <c r="C406" s="6"/>
      <c r="D406" s="6"/>
      <c r="E406" s="6"/>
      <c r="F406" s="5"/>
      <c r="G406" s="5"/>
      <c r="H406" s="5"/>
      <c r="I406" s="5"/>
      <c r="J406" s="5"/>
      <c r="K406" s="5"/>
      <c r="L406" s="5"/>
      <c r="M406" s="5"/>
      <c r="N406" s="5"/>
      <c r="O406" s="5"/>
      <c r="P406" s="5"/>
      <c r="Q406" s="5"/>
      <c r="R406" s="5"/>
      <c r="S406" s="5"/>
      <c r="T406" s="5"/>
      <c r="U406" s="5"/>
      <c r="V406" s="5"/>
      <c r="W406" s="5"/>
    </row>
    <row r="407" spans="1:23" ht="16" x14ac:dyDescent="0.2">
      <c r="A407" s="5"/>
      <c r="B407" s="6"/>
      <c r="C407" s="6"/>
      <c r="D407" s="6"/>
      <c r="E407" s="6"/>
      <c r="F407" s="5"/>
      <c r="G407" s="5"/>
      <c r="H407" s="5"/>
      <c r="I407" s="5"/>
      <c r="J407" s="5"/>
      <c r="K407" s="5"/>
      <c r="L407" s="5"/>
      <c r="M407" s="5"/>
      <c r="N407" s="5"/>
      <c r="O407" s="5"/>
      <c r="P407" s="5"/>
      <c r="Q407" s="5"/>
      <c r="R407" s="5"/>
      <c r="S407" s="5"/>
      <c r="T407" s="5"/>
      <c r="U407" s="5"/>
      <c r="V407" s="5"/>
      <c r="W407" s="5"/>
    </row>
    <row r="408" spans="1:23" ht="16" x14ac:dyDescent="0.2">
      <c r="A408" s="5"/>
      <c r="B408" s="6"/>
      <c r="C408" s="6"/>
      <c r="D408" s="6"/>
      <c r="E408" s="6"/>
      <c r="F408" s="5"/>
      <c r="G408" s="5"/>
      <c r="H408" s="5"/>
      <c r="I408" s="5"/>
      <c r="J408" s="5"/>
      <c r="K408" s="5"/>
      <c r="L408" s="5"/>
      <c r="M408" s="5"/>
      <c r="N408" s="5"/>
      <c r="O408" s="5"/>
      <c r="P408" s="5"/>
      <c r="Q408" s="5"/>
      <c r="R408" s="5"/>
      <c r="S408" s="5"/>
      <c r="T408" s="5"/>
      <c r="U408" s="5"/>
      <c r="V408" s="5"/>
      <c r="W408" s="5"/>
    </row>
    <row r="409" spans="1:23" ht="16" x14ac:dyDescent="0.2">
      <c r="A409" s="5"/>
      <c r="B409" s="6"/>
      <c r="C409" s="6"/>
      <c r="D409" s="6"/>
      <c r="E409" s="6"/>
      <c r="F409" s="5"/>
      <c r="G409" s="5"/>
      <c r="H409" s="5"/>
      <c r="I409" s="5"/>
      <c r="J409" s="5"/>
      <c r="K409" s="5"/>
      <c r="L409" s="5"/>
      <c r="M409" s="5"/>
      <c r="N409" s="5"/>
      <c r="O409" s="5"/>
      <c r="P409" s="5"/>
      <c r="Q409" s="5"/>
      <c r="R409" s="5"/>
      <c r="S409" s="5"/>
      <c r="T409" s="5"/>
      <c r="U409" s="5"/>
      <c r="V409" s="5"/>
      <c r="W409" s="5"/>
    </row>
    <row r="410" spans="1:23" ht="16" x14ac:dyDescent="0.2">
      <c r="A410" s="5"/>
      <c r="B410" s="6"/>
      <c r="C410" s="6"/>
      <c r="D410" s="6"/>
      <c r="E410" s="6"/>
      <c r="F410" s="5"/>
      <c r="G410" s="5"/>
      <c r="H410" s="5"/>
      <c r="I410" s="5"/>
      <c r="J410" s="5"/>
      <c r="K410" s="5"/>
      <c r="L410" s="5"/>
      <c r="M410" s="5"/>
      <c r="N410" s="5"/>
      <c r="O410" s="5"/>
      <c r="P410" s="5"/>
      <c r="Q410" s="5"/>
      <c r="R410" s="5"/>
      <c r="S410" s="5"/>
      <c r="T410" s="5"/>
      <c r="U410" s="5"/>
      <c r="V410" s="5"/>
      <c r="W410" s="5"/>
    </row>
    <row r="411" spans="1:23" ht="16" x14ac:dyDescent="0.2">
      <c r="A411" s="5"/>
      <c r="B411" s="6"/>
      <c r="C411" s="6"/>
      <c r="D411" s="6"/>
      <c r="E411" s="6"/>
      <c r="F411" s="5"/>
      <c r="G411" s="5"/>
      <c r="H411" s="5"/>
      <c r="I411" s="5"/>
      <c r="J411" s="5"/>
      <c r="K411" s="5"/>
      <c r="L411" s="5"/>
      <c r="M411" s="5"/>
      <c r="N411" s="5"/>
      <c r="O411" s="5"/>
      <c r="P411" s="5"/>
      <c r="Q411" s="5"/>
      <c r="R411" s="5"/>
      <c r="S411" s="5"/>
      <c r="T411" s="5"/>
      <c r="U411" s="5"/>
      <c r="V411" s="5"/>
      <c r="W411" s="5"/>
    </row>
    <row r="412" spans="1:23" ht="16" x14ac:dyDescent="0.2">
      <c r="A412" s="5"/>
      <c r="B412" s="6"/>
      <c r="C412" s="6"/>
      <c r="D412" s="6"/>
      <c r="E412" s="6"/>
      <c r="F412" s="5"/>
      <c r="G412" s="5"/>
      <c r="H412" s="5"/>
      <c r="I412" s="5"/>
      <c r="J412" s="5"/>
      <c r="K412" s="5"/>
      <c r="L412" s="5"/>
      <c r="M412" s="5"/>
      <c r="N412" s="5"/>
      <c r="O412" s="5"/>
      <c r="P412" s="5"/>
      <c r="Q412" s="5"/>
      <c r="R412" s="5"/>
      <c r="S412" s="5"/>
      <c r="T412" s="5"/>
      <c r="U412" s="5"/>
      <c r="V412" s="5"/>
      <c r="W412" s="5"/>
    </row>
    <row r="413" spans="1:23" ht="16" x14ac:dyDescent="0.2">
      <c r="A413" s="5"/>
      <c r="B413" s="6"/>
      <c r="C413" s="6"/>
      <c r="D413" s="6"/>
      <c r="E413" s="6"/>
      <c r="F413" s="5"/>
      <c r="G413" s="5"/>
      <c r="H413" s="5"/>
      <c r="I413" s="5"/>
      <c r="J413" s="5"/>
      <c r="K413" s="5"/>
      <c r="L413" s="5"/>
      <c r="M413" s="5"/>
      <c r="N413" s="5"/>
      <c r="O413" s="5"/>
      <c r="P413" s="5"/>
      <c r="Q413" s="5"/>
      <c r="R413" s="5"/>
      <c r="S413" s="5"/>
      <c r="T413" s="5"/>
      <c r="U413" s="5"/>
      <c r="V413" s="5"/>
      <c r="W413" s="5"/>
    </row>
    <row r="414" spans="1:23" ht="16" x14ac:dyDescent="0.2">
      <c r="A414" s="5"/>
      <c r="B414" s="6"/>
      <c r="C414" s="6"/>
      <c r="D414" s="6"/>
      <c r="E414" s="6"/>
      <c r="F414" s="5"/>
      <c r="G414" s="5"/>
      <c r="H414" s="5"/>
      <c r="I414" s="5"/>
      <c r="J414" s="5"/>
      <c r="K414" s="5"/>
      <c r="L414" s="5"/>
      <c r="M414" s="5"/>
      <c r="N414" s="5"/>
      <c r="O414" s="5"/>
      <c r="P414" s="5"/>
      <c r="Q414" s="5"/>
      <c r="R414" s="5"/>
      <c r="S414" s="5"/>
      <c r="T414" s="5"/>
      <c r="U414" s="5"/>
      <c r="V414" s="5"/>
      <c r="W414" s="5"/>
    </row>
    <row r="415" spans="1:23" ht="16" x14ac:dyDescent="0.2">
      <c r="A415" s="5"/>
      <c r="B415" s="6"/>
      <c r="C415" s="6"/>
      <c r="D415" s="6"/>
      <c r="E415" s="6"/>
      <c r="F415" s="5"/>
      <c r="G415" s="5"/>
      <c r="H415" s="5"/>
      <c r="I415" s="5"/>
      <c r="J415" s="5"/>
      <c r="K415" s="5"/>
      <c r="L415" s="5"/>
      <c r="M415" s="5"/>
      <c r="N415" s="5"/>
      <c r="O415" s="5"/>
      <c r="P415" s="5"/>
      <c r="Q415" s="5"/>
      <c r="R415" s="5"/>
      <c r="S415" s="5"/>
      <c r="T415" s="5"/>
      <c r="U415" s="5"/>
      <c r="V415" s="5"/>
      <c r="W415" s="5"/>
    </row>
    <row r="416" spans="1:23" ht="16" x14ac:dyDescent="0.2">
      <c r="A416" s="5"/>
      <c r="B416" s="6"/>
      <c r="C416" s="6"/>
      <c r="D416" s="6"/>
      <c r="E416" s="6"/>
      <c r="F416" s="5"/>
      <c r="G416" s="5"/>
      <c r="H416" s="5"/>
      <c r="I416" s="5"/>
      <c r="J416" s="5"/>
      <c r="K416" s="5"/>
      <c r="L416" s="5"/>
      <c r="M416" s="5"/>
      <c r="N416" s="5"/>
      <c r="O416" s="5"/>
      <c r="P416" s="5"/>
      <c r="Q416" s="5"/>
      <c r="R416" s="5"/>
      <c r="S416" s="5"/>
      <c r="T416" s="5"/>
      <c r="U416" s="5"/>
      <c r="V416" s="5"/>
      <c r="W416" s="5"/>
    </row>
    <row r="417" spans="1:23" ht="16" x14ac:dyDescent="0.2">
      <c r="A417" s="5"/>
      <c r="B417" s="6"/>
      <c r="C417" s="6"/>
      <c r="D417" s="6"/>
      <c r="E417" s="6"/>
      <c r="F417" s="5"/>
      <c r="G417" s="5"/>
      <c r="H417" s="5"/>
      <c r="I417" s="5"/>
      <c r="J417" s="5"/>
      <c r="K417" s="5"/>
      <c r="L417" s="5"/>
      <c r="M417" s="5"/>
      <c r="N417" s="5"/>
      <c r="O417" s="5"/>
      <c r="P417" s="5"/>
      <c r="Q417" s="5"/>
      <c r="R417" s="5"/>
      <c r="S417" s="5"/>
      <c r="T417" s="5"/>
      <c r="U417" s="5"/>
      <c r="V417" s="5"/>
      <c r="W417" s="5"/>
    </row>
    <row r="418" spans="1:23" ht="16" x14ac:dyDescent="0.2">
      <c r="A418" s="5"/>
      <c r="B418" s="6"/>
      <c r="C418" s="6"/>
      <c r="D418" s="6"/>
      <c r="E418" s="6"/>
      <c r="F418" s="5"/>
      <c r="G418" s="5"/>
      <c r="H418" s="5"/>
      <c r="I418" s="5"/>
      <c r="J418" s="5"/>
      <c r="K418" s="5"/>
      <c r="L418" s="5"/>
      <c r="M418" s="5"/>
      <c r="N418" s="5"/>
      <c r="O418" s="5"/>
      <c r="P418" s="5"/>
      <c r="Q418" s="5"/>
      <c r="R418" s="5"/>
      <c r="S418" s="5"/>
      <c r="T418" s="5"/>
      <c r="U418" s="5"/>
      <c r="V418" s="5"/>
      <c r="W418" s="5"/>
    </row>
    <row r="419" spans="1:23" ht="16" x14ac:dyDescent="0.2">
      <c r="A419" s="5"/>
      <c r="B419" s="6"/>
      <c r="C419" s="6"/>
      <c r="D419" s="6"/>
      <c r="E419" s="6"/>
      <c r="F419" s="5"/>
      <c r="G419" s="5"/>
      <c r="H419" s="5"/>
      <c r="I419" s="5"/>
      <c r="J419" s="5"/>
      <c r="K419" s="5"/>
      <c r="L419" s="5"/>
      <c r="M419" s="5"/>
      <c r="N419" s="5"/>
      <c r="O419" s="5"/>
      <c r="P419" s="5"/>
      <c r="Q419" s="5"/>
      <c r="R419" s="5"/>
      <c r="S419" s="5"/>
      <c r="T419" s="5"/>
      <c r="U419" s="5"/>
      <c r="V419" s="5"/>
      <c r="W419" s="5"/>
    </row>
    <row r="420" spans="1:23" ht="16" x14ac:dyDescent="0.2">
      <c r="A420" s="5"/>
      <c r="B420" s="6"/>
      <c r="C420" s="6"/>
      <c r="D420" s="6"/>
      <c r="E420" s="6"/>
      <c r="F420" s="5"/>
      <c r="G420" s="5"/>
      <c r="H420" s="5"/>
      <c r="I420" s="5"/>
      <c r="J420" s="5"/>
      <c r="K420" s="5"/>
      <c r="L420" s="5"/>
      <c r="M420" s="5"/>
      <c r="N420" s="5"/>
      <c r="O420" s="5"/>
      <c r="P420" s="5"/>
      <c r="Q420" s="5"/>
      <c r="R420" s="5"/>
      <c r="S420" s="5"/>
      <c r="T420" s="5"/>
      <c r="U420" s="5"/>
      <c r="V420" s="5"/>
      <c r="W420" s="5"/>
    </row>
    <row r="421" spans="1:23" ht="16" x14ac:dyDescent="0.2">
      <c r="A421" s="5"/>
      <c r="B421" s="6"/>
      <c r="C421" s="6"/>
      <c r="D421" s="6"/>
      <c r="E421" s="6"/>
      <c r="F421" s="5"/>
      <c r="G421" s="5"/>
      <c r="H421" s="5"/>
      <c r="I421" s="5"/>
      <c r="J421" s="5"/>
      <c r="K421" s="5"/>
      <c r="L421" s="5"/>
      <c r="M421" s="5"/>
      <c r="N421" s="5"/>
      <c r="O421" s="5"/>
      <c r="P421" s="5"/>
      <c r="Q421" s="5"/>
      <c r="R421" s="5"/>
      <c r="S421" s="5"/>
      <c r="T421" s="5"/>
      <c r="U421" s="5"/>
      <c r="V421" s="5"/>
      <c r="W421" s="5"/>
    </row>
    <row r="422" spans="1:23" ht="16" x14ac:dyDescent="0.2">
      <c r="A422" s="5"/>
      <c r="B422" s="6"/>
      <c r="C422" s="6"/>
      <c r="D422" s="6"/>
      <c r="E422" s="6"/>
      <c r="F422" s="5"/>
      <c r="G422" s="5"/>
      <c r="H422" s="5"/>
      <c r="I422" s="5"/>
      <c r="J422" s="5"/>
      <c r="K422" s="5"/>
      <c r="L422" s="5"/>
      <c r="M422" s="5"/>
      <c r="N422" s="5"/>
      <c r="O422" s="5"/>
      <c r="P422" s="5"/>
      <c r="Q422" s="5"/>
      <c r="R422" s="5"/>
      <c r="S422" s="5"/>
      <c r="T422" s="5"/>
      <c r="U422" s="5"/>
      <c r="V422" s="5"/>
      <c r="W422" s="5"/>
    </row>
    <row r="423" spans="1:23" ht="16" x14ac:dyDescent="0.2">
      <c r="A423" s="5"/>
      <c r="B423" s="6"/>
      <c r="C423" s="6"/>
      <c r="D423" s="6"/>
      <c r="E423" s="6"/>
      <c r="F423" s="5"/>
      <c r="G423" s="5"/>
      <c r="H423" s="5"/>
      <c r="I423" s="5"/>
      <c r="J423" s="5"/>
      <c r="K423" s="5"/>
      <c r="L423" s="5"/>
      <c r="M423" s="5"/>
      <c r="N423" s="5"/>
      <c r="O423" s="5"/>
      <c r="P423" s="5"/>
      <c r="Q423" s="5"/>
      <c r="R423" s="5"/>
      <c r="S423" s="5"/>
      <c r="T423" s="5"/>
      <c r="U423" s="5"/>
      <c r="V423" s="5"/>
      <c r="W423" s="5"/>
    </row>
    <row r="424" spans="1:23" ht="16" x14ac:dyDescent="0.2">
      <c r="A424" s="5"/>
      <c r="B424" s="6"/>
      <c r="C424" s="6"/>
      <c r="D424" s="6"/>
      <c r="E424" s="6"/>
      <c r="F424" s="5"/>
      <c r="G424" s="5"/>
      <c r="H424" s="5"/>
      <c r="I424" s="5"/>
      <c r="J424" s="5"/>
      <c r="K424" s="5"/>
      <c r="L424" s="5"/>
      <c r="M424" s="5"/>
      <c r="N424" s="5"/>
      <c r="O424" s="5"/>
      <c r="P424" s="5"/>
      <c r="Q424" s="5"/>
      <c r="R424" s="5"/>
      <c r="S424" s="5"/>
      <c r="T424" s="5"/>
      <c r="U424" s="5"/>
      <c r="V424" s="5"/>
      <c r="W424" s="5"/>
    </row>
    <row r="425" spans="1:23" ht="16" x14ac:dyDescent="0.2">
      <c r="A425" s="5"/>
      <c r="B425" s="6"/>
      <c r="C425" s="6"/>
      <c r="D425" s="6"/>
      <c r="E425" s="6"/>
      <c r="F425" s="5"/>
      <c r="G425" s="5"/>
      <c r="H425" s="5"/>
      <c r="I425" s="5"/>
      <c r="J425" s="5"/>
      <c r="K425" s="5"/>
      <c r="L425" s="5"/>
      <c r="M425" s="5"/>
      <c r="N425" s="5"/>
      <c r="O425" s="5"/>
      <c r="P425" s="5"/>
      <c r="Q425" s="5"/>
      <c r="R425" s="5"/>
      <c r="S425" s="5"/>
      <c r="T425" s="5"/>
      <c r="U425" s="5"/>
      <c r="V425" s="5"/>
      <c r="W425" s="5"/>
    </row>
    <row r="426" spans="1:23" ht="16" x14ac:dyDescent="0.2">
      <c r="A426" s="5"/>
      <c r="B426" s="6"/>
      <c r="C426" s="6"/>
      <c r="D426" s="6"/>
      <c r="E426" s="6"/>
      <c r="F426" s="5"/>
      <c r="G426" s="5"/>
      <c r="H426" s="5"/>
      <c r="I426" s="5"/>
      <c r="J426" s="5"/>
      <c r="K426" s="5"/>
      <c r="L426" s="5"/>
      <c r="M426" s="5"/>
      <c r="N426" s="5"/>
      <c r="O426" s="5"/>
      <c r="P426" s="5"/>
      <c r="Q426" s="5"/>
      <c r="R426" s="5"/>
      <c r="S426" s="5"/>
      <c r="T426" s="5"/>
      <c r="U426" s="5"/>
      <c r="V426" s="5"/>
      <c r="W426" s="5"/>
    </row>
    <row r="427" spans="1:23" ht="16" x14ac:dyDescent="0.2">
      <c r="A427" s="5"/>
      <c r="B427" s="6"/>
      <c r="C427" s="6"/>
      <c r="D427" s="6"/>
      <c r="E427" s="6"/>
      <c r="F427" s="5"/>
      <c r="G427" s="5"/>
      <c r="H427" s="5"/>
      <c r="I427" s="5"/>
      <c r="J427" s="5"/>
      <c r="K427" s="5"/>
      <c r="L427" s="5"/>
      <c r="M427" s="5"/>
      <c r="N427" s="5"/>
      <c r="O427" s="5"/>
      <c r="P427" s="5"/>
      <c r="Q427" s="5"/>
      <c r="R427" s="5"/>
      <c r="S427" s="5"/>
      <c r="T427" s="5"/>
      <c r="U427" s="5"/>
      <c r="V427" s="5"/>
      <c r="W427" s="5"/>
    </row>
    <row r="428" spans="1:23" ht="16" x14ac:dyDescent="0.2">
      <c r="A428" s="5"/>
      <c r="B428" s="6"/>
      <c r="C428" s="6"/>
      <c r="D428" s="6"/>
      <c r="E428" s="6"/>
      <c r="F428" s="5"/>
      <c r="G428" s="5"/>
      <c r="H428" s="5"/>
      <c r="I428" s="5"/>
      <c r="J428" s="5"/>
      <c r="K428" s="5"/>
      <c r="L428" s="5"/>
      <c r="M428" s="5"/>
      <c r="N428" s="5"/>
      <c r="O428" s="5"/>
      <c r="P428" s="5"/>
      <c r="Q428" s="5"/>
      <c r="R428" s="5"/>
      <c r="S428" s="5"/>
      <c r="T428" s="5"/>
      <c r="U428" s="5"/>
      <c r="V428" s="5"/>
      <c r="W428" s="5"/>
    </row>
    <row r="429" spans="1:23" ht="16" x14ac:dyDescent="0.2">
      <c r="A429" s="5"/>
      <c r="B429" s="6"/>
      <c r="C429" s="6"/>
      <c r="D429" s="6"/>
      <c r="E429" s="6"/>
      <c r="F429" s="5"/>
      <c r="G429" s="5"/>
      <c r="H429" s="5"/>
      <c r="I429" s="5"/>
      <c r="J429" s="5"/>
      <c r="K429" s="5"/>
      <c r="L429" s="5"/>
      <c r="M429" s="5"/>
      <c r="N429" s="5"/>
      <c r="O429" s="5"/>
      <c r="P429" s="5"/>
      <c r="Q429" s="5"/>
      <c r="R429" s="5"/>
      <c r="S429" s="5"/>
      <c r="T429" s="5"/>
      <c r="U429" s="5"/>
      <c r="V429" s="5"/>
      <c r="W429" s="5"/>
    </row>
    <row r="430" spans="1:23" ht="16" x14ac:dyDescent="0.2">
      <c r="A430" s="5"/>
      <c r="B430" s="6"/>
      <c r="C430" s="6"/>
      <c r="D430" s="6"/>
      <c r="E430" s="6"/>
      <c r="F430" s="5"/>
      <c r="G430" s="5"/>
      <c r="H430" s="5"/>
      <c r="I430" s="5"/>
      <c r="J430" s="5"/>
      <c r="K430" s="5"/>
      <c r="L430" s="5"/>
      <c r="M430" s="5"/>
      <c r="N430" s="5"/>
      <c r="O430" s="5"/>
      <c r="P430" s="5"/>
      <c r="Q430" s="5"/>
      <c r="R430" s="5"/>
      <c r="S430" s="5"/>
      <c r="T430" s="5"/>
      <c r="U430" s="5"/>
      <c r="V430" s="5"/>
      <c r="W430" s="5"/>
    </row>
    <row r="431" spans="1:23" ht="16" x14ac:dyDescent="0.2">
      <c r="A431" s="5"/>
      <c r="B431" s="6"/>
      <c r="C431" s="6"/>
      <c r="D431" s="6"/>
      <c r="E431" s="6"/>
      <c r="F431" s="5"/>
      <c r="G431" s="5"/>
      <c r="H431" s="5"/>
      <c r="I431" s="5"/>
      <c r="J431" s="5"/>
      <c r="K431" s="5"/>
      <c r="L431" s="5"/>
      <c r="M431" s="5"/>
      <c r="N431" s="5"/>
      <c r="O431" s="5"/>
      <c r="P431" s="5"/>
      <c r="Q431" s="5"/>
      <c r="R431" s="5"/>
      <c r="S431" s="5"/>
      <c r="T431" s="5"/>
      <c r="U431" s="5"/>
      <c r="V431" s="5"/>
      <c r="W431" s="5"/>
    </row>
    <row r="432" spans="1:23" ht="16" x14ac:dyDescent="0.2">
      <c r="A432" s="5"/>
      <c r="B432" s="6"/>
      <c r="C432" s="6"/>
      <c r="D432" s="6"/>
      <c r="E432" s="6"/>
      <c r="F432" s="5"/>
      <c r="G432" s="5"/>
      <c r="H432" s="5"/>
      <c r="I432" s="5"/>
      <c r="J432" s="5"/>
      <c r="K432" s="5"/>
      <c r="L432" s="5"/>
      <c r="M432" s="5"/>
      <c r="N432" s="5"/>
      <c r="O432" s="5"/>
      <c r="P432" s="5"/>
      <c r="Q432" s="5"/>
      <c r="R432" s="5"/>
      <c r="S432" s="5"/>
      <c r="T432" s="5"/>
      <c r="U432" s="5"/>
      <c r="V432" s="5"/>
      <c r="W432" s="5"/>
    </row>
    <row r="433" spans="1:23" ht="16" x14ac:dyDescent="0.2">
      <c r="A433" s="5"/>
      <c r="B433" s="6"/>
      <c r="C433" s="6"/>
      <c r="D433" s="6"/>
      <c r="E433" s="6"/>
      <c r="F433" s="5"/>
      <c r="G433" s="5"/>
      <c r="H433" s="5"/>
      <c r="I433" s="5"/>
      <c r="J433" s="5"/>
      <c r="K433" s="5"/>
      <c r="L433" s="5"/>
      <c r="M433" s="5"/>
      <c r="N433" s="5"/>
      <c r="O433" s="5"/>
      <c r="P433" s="5"/>
      <c r="Q433" s="5"/>
      <c r="R433" s="5"/>
      <c r="S433" s="5"/>
      <c r="T433" s="5"/>
      <c r="U433" s="5"/>
      <c r="V433" s="5"/>
      <c r="W433" s="5"/>
    </row>
    <row r="434" spans="1:23" ht="16" x14ac:dyDescent="0.2">
      <c r="A434" s="5"/>
      <c r="B434" s="6"/>
      <c r="C434" s="6"/>
      <c r="D434" s="6"/>
      <c r="E434" s="6"/>
      <c r="F434" s="5"/>
      <c r="G434" s="5"/>
      <c r="H434" s="5"/>
      <c r="I434" s="5"/>
      <c r="J434" s="5"/>
      <c r="K434" s="5"/>
      <c r="L434" s="5"/>
      <c r="M434" s="5"/>
      <c r="N434" s="5"/>
      <c r="O434" s="5"/>
      <c r="P434" s="5"/>
      <c r="Q434" s="5"/>
      <c r="R434" s="5"/>
      <c r="S434" s="5"/>
      <c r="T434" s="5"/>
      <c r="U434" s="5"/>
      <c r="V434" s="5"/>
      <c r="W434" s="5"/>
    </row>
    <row r="435" spans="1:23" ht="16" x14ac:dyDescent="0.2">
      <c r="A435" s="5"/>
      <c r="B435" s="6"/>
      <c r="C435" s="6"/>
      <c r="D435" s="6"/>
      <c r="E435" s="6"/>
      <c r="F435" s="5"/>
      <c r="G435" s="5"/>
      <c r="H435" s="5"/>
      <c r="I435" s="5"/>
      <c r="J435" s="5"/>
      <c r="K435" s="5"/>
      <c r="L435" s="5"/>
      <c r="M435" s="5"/>
      <c r="N435" s="5"/>
      <c r="O435" s="5"/>
      <c r="P435" s="5"/>
      <c r="Q435" s="5"/>
      <c r="R435" s="5"/>
      <c r="S435" s="5"/>
      <c r="T435" s="5"/>
      <c r="U435" s="5"/>
      <c r="V435" s="5"/>
      <c r="W435" s="5"/>
    </row>
    <row r="436" spans="1:23" ht="16" x14ac:dyDescent="0.2">
      <c r="A436" s="5"/>
      <c r="B436" s="6"/>
      <c r="C436" s="6"/>
      <c r="D436" s="6"/>
      <c r="E436" s="6"/>
      <c r="F436" s="5"/>
      <c r="G436" s="5"/>
      <c r="H436" s="5"/>
      <c r="I436" s="5"/>
      <c r="J436" s="5"/>
      <c r="K436" s="5"/>
      <c r="L436" s="5"/>
      <c r="M436" s="5"/>
      <c r="N436" s="5"/>
      <c r="O436" s="5"/>
      <c r="P436" s="5"/>
      <c r="Q436" s="5"/>
      <c r="R436" s="5"/>
      <c r="S436" s="5"/>
      <c r="T436" s="5"/>
      <c r="U436" s="5"/>
      <c r="V436" s="5"/>
      <c r="W436" s="5"/>
    </row>
    <row r="437" spans="1:23" ht="16" x14ac:dyDescent="0.2">
      <c r="A437" s="5"/>
      <c r="B437" s="6"/>
      <c r="C437" s="6"/>
      <c r="D437" s="6"/>
      <c r="E437" s="6"/>
      <c r="F437" s="5"/>
      <c r="G437" s="5"/>
      <c r="H437" s="5"/>
      <c r="I437" s="5"/>
      <c r="J437" s="5"/>
      <c r="K437" s="5"/>
      <c r="L437" s="5"/>
      <c r="M437" s="5"/>
      <c r="N437" s="5"/>
      <c r="O437" s="5"/>
      <c r="P437" s="5"/>
      <c r="Q437" s="5"/>
      <c r="R437" s="5"/>
      <c r="S437" s="5"/>
      <c r="T437" s="5"/>
      <c r="U437" s="5"/>
      <c r="V437" s="5"/>
      <c r="W437" s="5"/>
    </row>
    <row r="438" spans="1:23" ht="16" x14ac:dyDescent="0.2">
      <c r="A438" s="5"/>
      <c r="B438" s="6"/>
      <c r="C438" s="6"/>
      <c r="D438" s="6"/>
      <c r="E438" s="6"/>
      <c r="F438" s="5"/>
      <c r="G438" s="5"/>
      <c r="H438" s="5"/>
      <c r="I438" s="5"/>
      <c r="J438" s="5"/>
      <c r="K438" s="5"/>
      <c r="L438" s="5"/>
      <c r="M438" s="5"/>
      <c r="N438" s="5"/>
      <c r="O438" s="5"/>
      <c r="P438" s="5"/>
      <c r="Q438" s="5"/>
      <c r="R438" s="5"/>
      <c r="S438" s="5"/>
      <c r="T438" s="5"/>
      <c r="U438" s="5"/>
      <c r="V438" s="5"/>
      <c r="W438" s="5"/>
    </row>
    <row r="439" spans="1:23" ht="16" x14ac:dyDescent="0.2">
      <c r="A439" s="5"/>
      <c r="B439" s="6"/>
      <c r="C439" s="6"/>
      <c r="D439" s="6"/>
      <c r="E439" s="6"/>
      <c r="F439" s="5"/>
      <c r="G439" s="5"/>
      <c r="H439" s="5"/>
      <c r="I439" s="5"/>
      <c r="J439" s="5"/>
      <c r="K439" s="5"/>
      <c r="L439" s="5"/>
      <c r="M439" s="5"/>
      <c r="N439" s="5"/>
      <c r="O439" s="5"/>
      <c r="P439" s="5"/>
      <c r="Q439" s="5"/>
      <c r="R439" s="5"/>
      <c r="S439" s="5"/>
      <c r="T439" s="5"/>
      <c r="U439" s="5"/>
      <c r="V439" s="5"/>
      <c r="W439" s="5"/>
    </row>
    <row r="440" spans="1:23" ht="16" x14ac:dyDescent="0.2">
      <c r="A440" s="5"/>
      <c r="B440" s="6"/>
      <c r="C440" s="6"/>
      <c r="D440" s="6"/>
      <c r="E440" s="6"/>
      <c r="F440" s="5"/>
      <c r="G440" s="5"/>
      <c r="H440" s="5"/>
      <c r="I440" s="5"/>
      <c r="J440" s="5"/>
      <c r="K440" s="5"/>
      <c r="L440" s="5"/>
      <c r="M440" s="5"/>
      <c r="N440" s="5"/>
      <c r="O440" s="5"/>
      <c r="P440" s="5"/>
      <c r="Q440" s="5"/>
      <c r="R440" s="5"/>
      <c r="S440" s="5"/>
      <c r="T440" s="5"/>
      <c r="U440" s="5"/>
      <c r="V440" s="5"/>
      <c r="W440" s="5"/>
    </row>
    <row r="441" spans="1:23" ht="16" x14ac:dyDescent="0.2">
      <c r="A441" s="5"/>
      <c r="B441" s="6"/>
      <c r="C441" s="6"/>
      <c r="D441" s="6"/>
      <c r="E441" s="6"/>
      <c r="F441" s="5"/>
      <c r="G441" s="5"/>
      <c r="H441" s="5"/>
      <c r="I441" s="5"/>
      <c r="J441" s="5"/>
      <c r="K441" s="5"/>
      <c r="L441" s="5"/>
      <c r="M441" s="5"/>
      <c r="N441" s="5"/>
      <c r="O441" s="5"/>
      <c r="P441" s="5"/>
      <c r="Q441" s="5"/>
      <c r="R441" s="5"/>
      <c r="S441" s="5"/>
      <c r="T441" s="5"/>
      <c r="U441" s="5"/>
      <c r="V441" s="5"/>
      <c r="W441" s="5"/>
    </row>
    <row r="442" spans="1:23" ht="16" x14ac:dyDescent="0.2">
      <c r="A442" s="5"/>
      <c r="B442" s="6"/>
      <c r="C442" s="6"/>
      <c r="D442" s="6"/>
      <c r="E442" s="6"/>
      <c r="F442" s="5"/>
      <c r="G442" s="5"/>
      <c r="H442" s="5"/>
      <c r="I442" s="5"/>
      <c r="J442" s="5"/>
      <c r="K442" s="5"/>
      <c r="L442" s="5"/>
      <c r="M442" s="5"/>
      <c r="N442" s="5"/>
      <c r="O442" s="5"/>
      <c r="P442" s="5"/>
      <c r="Q442" s="5"/>
      <c r="R442" s="5"/>
      <c r="S442" s="5"/>
      <c r="T442" s="5"/>
      <c r="U442" s="5"/>
      <c r="V442" s="5"/>
      <c r="W442" s="5"/>
    </row>
    <row r="443" spans="1:23" ht="16" x14ac:dyDescent="0.2">
      <c r="A443" s="5"/>
      <c r="B443" s="6"/>
      <c r="C443" s="6"/>
      <c r="D443" s="6"/>
      <c r="E443" s="6"/>
      <c r="F443" s="5"/>
      <c r="G443" s="5"/>
      <c r="H443" s="5"/>
      <c r="I443" s="5"/>
      <c r="J443" s="5"/>
      <c r="K443" s="5"/>
      <c r="L443" s="5"/>
      <c r="M443" s="5"/>
      <c r="N443" s="5"/>
      <c r="O443" s="5"/>
      <c r="P443" s="5"/>
      <c r="Q443" s="5"/>
      <c r="R443" s="5"/>
      <c r="S443" s="5"/>
      <c r="T443" s="5"/>
      <c r="U443" s="5"/>
      <c r="V443" s="5"/>
      <c r="W443" s="5"/>
    </row>
    <row r="444" spans="1:23" ht="16" x14ac:dyDescent="0.2">
      <c r="A444" s="5"/>
      <c r="B444" s="6"/>
      <c r="C444" s="6"/>
      <c r="D444" s="6"/>
      <c r="E444" s="6"/>
      <c r="F444" s="5"/>
      <c r="G444" s="5"/>
      <c r="H444" s="5"/>
      <c r="I444" s="5"/>
      <c r="J444" s="5"/>
      <c r="K444" s="5"/>
      <c r="L444" s="5"/>
      <c r="M444" s="5"/>
      <c r="N444" s="5"/>
      <c r="O444" s="5"/>
      <c r="P444" s="5"/>
      <c r="Q444" s="5"/>
      <c r="R444" s="5"/>
      <c r="S444" s="5"/>
      <c r="T444" s="5"/>
      <c r="U444" s="5"/>
      <c r="V444" s="5"/>
      <c r="W444" s="5"/>
    </row>
    <row r="445" spans="1:23" ht="16" x14ac:dyDescent="0.2">
      <c r="A445" s="5"/>
      <c r="B445" s="6"/>
      <c r="C445" s="6"/>
      <c r="D445" s="6"/>
      <c r="E445" s="6"/>
      <c r="F445" s="5"/>
      <c r="G445" s="5"/>
      <c r="H445" s="5"/>
      <c r="I445" s="5"/>
      <c r="J445" s="5"/>
      <c r="K445" s="5"/>
      <c r="L445" s="5"/>
      <c r="M445" s="5"/>
      <c r="N445" s="5"/>
      <c r="O445" s="5"/>
      <c r="P445" s="5"/>
      <c r="Q445" s="5"/>
      <c r="R445" s="5"/>
      <c r="S445" s="5"/>
      <c r="T445" s="5"/>
      <c r="U445" s="5"/>
      <c r="V445" s="5"/>
      <c r="W445" s="5"/>
    </row>
    <row r="446" spans="1:23" ht="16" x14ac:dyDescent="0.2">
      <c r="A446" s="5"/>
      <c r="B446" s="6"/>
      <c r="C446" s="6"/>
      <c r="D446" s="6"/>
      <c r="E446" s="6"/>
      <c r="F446" s="5"/>
      <c r="G446" s="5"/>
      <c r="H446" s="5"/>
      <c r="I446" s="5"/>
      <c r="J446" s="5"/>
      <c r="K446" s="5"/>
      <c r="L446" s="5"/>
      <c r="M446" s="5"/>
      <c r="N446" s="5"/>
      <c r="O446" s="5"/>
      <c r="P446" s="5"/>
      <c r="Q446" s="5"/>
      <c r="R446" s="5"/>
      <c r="S446" s="5"/>
      <c r="T446" s="5"/>
      <c r="U446" s="5"/>
      <c r="V446" s="5"/>
      <c r="W446" s="5"/>
    </row>
    <row r="447" spans="1:23" ht="16" x14ac:dyDescent="0.2">
      <c r="A447" s="5"/>
      <c r="B447" s="6"/>
      <c r="C447" s="6"/>
      <c r="D447" s="6"/>
      <c r="E447" s="6"/>
      <c r="F447" s="5"/>
      <c r="G447" s="5"/>
      <c r="H447" s="5"/>
      <c r="I447" s="5"/>
      <c r="J447" s="5"/>
      <c r="K447" s="5"/>
      <c r="L447" s="5"/>
      <c r="M447" s="5"/>
      <c r="N447" s="5"/>
      <c r="O447" s="5"/>
      <c r="P447" s="5"/>
      <c r="Q447" s="5"/>
      <c r="R447" s="5"/>
      <c r="S447" s="5"/>
      <c r="T447" s="5"/>
      <c r="U447" s="5"/>
      <c r="V447" s="5"/>
      <c r="W447" s="5"/>
    </row>
    <row r="448" spans="1:23" ht="16" x14ac:dyDescent="0.2">
      <c r="A448" s="5"/>
      <c r="B448" s="6"/>
      <c r="C448" s="6"/>
      <c r="D448" s="6"/>
      <c r="E448" s="6"/>
      <c r="F448" s="5"/>
      <c r="G448" s="5"/>
      <c r="H448" s="5"/>
      <c r="I448" s="5"/>
      <c r="J448" s="5"/>
      <c r="K448" s="5"/>
      <c r="L448" s="5"/>
      <c r="M448" s="5"/>
      <c r="N448" s="5"/>
      <c r="O448" s="5"/>
      <c r="P448" s="5"/>
      <c r="Q448" s="5"/>
      <c r="R448" s="5"/>
      <c r="S448" s="5"/>
      <c r="T448" s="5"/>
      <c r="U448" s="5"/>
      <c r="V448" s="5"/>
      <c r="W448" s="5"/>
    </row>
    <row r="449" spans="1:23" ht="16" x14ac:dyDescent="0.2">
      <c r="A449" s="5"/>
      <c r="B449" s="6"/>
      <c r="C449" s="6"/>
      <c r="D449" s="6"/>
      <c r="E449" s="6"/>
      <c r="F449" s="5"/>
      <c r="G449" s="5"/>
      <c r="H449" s="5"/>
      <c r="I449" s="5"/>
      <c r="J449" s="5"/>
      <c r="K449" s="5"/>
      <c r="L449" s="5"/>
      <c r="M449" s="5"/>
      <c r="N449" s="5"/>
      <c r="O449" s="5"/>
      <c r="P449" s="5"/>
      <c r="Q449" s="5"/>
      <c r="R449" s="5"/>
      <c r="S449" s="5"/>
      <c r="T449" s="5"/>
      <c r="U449" s="5"/>
      <c r="V449" s="5"/>
      <c r="W449" s="5"/>
    </row>
    <row r="450" spans="1:23" ht="16" x14ac:dyDescent="0.2">
      <c r="A450" s="5"/>
      <c r="B450" s="6"/>
      <c r="C450" s="6"/>
      <c r="D450" s="6"/>
      <c r="E450" s="6"/>
      <c r="F450" s="5"/>
      <c r="G450" s="5"/>
      <c r="H450" s="5"/>
      <c r="I450" s="5"/>
      <c r="J450" s="5"/>
      <c r="K450" s="5"/>
      <c r="L450" s="5"/>
      <c r="M450" s="5"/>
      <c r="N450" s="5"/>
      <c r="O450" s="5"/>
      <c r="P450" s="5"/>
      <c r="Q450" s="5"/>
      <c r="R450" s="5"/>
      <c r="S450" s="5"/>
      <c r="T450" s="5"/>
      <c r="U450" s="5"/>
      <c r="V450" s="5"/>
      <c r="W450" s="5"/>
    </row>
    <row r="451" spans="1:23" ht="16" x14ac:dyDescent="0.2">
      <c r="A451" s="5"/>
      <c r="B451" s="6"/>
      <c r="C451" s="6"/>
      <c r="D451" s="6"/>
      <c r="E451" s="6"/>
      <c r="F451" s="5"/>
      <c r="G451" s="5"/>
      <c r="H451" s="5"/>
      <c r="I451" s="5"/>
      <c r="J451" s="5"/>
      <c r="K451" s="5"/>
      <c r="L451" s="5"/>
      <c r="M451" s="5"/>
      <c r="N451" s="5"/>
      <c r="O451" s="5"/>
      <c r="P451" s="5"/>
      <c r="Q451" s="5"/>
      <c r="R451" s="5"/>
      <c r="S451" s="5"/>
      <c r="T451" s="5"/>
      <c r="U451" s="5"/>
      <c r="V451" s="5"/>
      <c r="W451" s="5"/>
    </row>
    <row r="452" spans="1:23" ht="16" x14ac:dyDescent="0.2">
      <c r="A452" s="5"/>
      <c r="B452" s="6"/>
      <c r="C452" s="6"/>
      <c r="D452" s="6"/>
      <c r="E452" s="6"/>
      <c r="F452" s="5"/>
      <c r="G452" s="5"/>
      <c r="H452" s="5"/>
      <c r="I452" s="5"/>
      <c r="J452" s="5"/>
      <c r="K452" s="5"/>
      <c r="L452" s="5"/>
      <c r="M452" s="5"/>
      <c r="N452" s="5"/>
      <c r="O452" s="5"/>
      <c r="P452" s="5"/>
      <c r="Q452" s="5"/>
      <c r="R452" s="5"/>
      <c r="S452" s="5"/>
      <c r="T452" s="5"/>
      <c r="U452" s="5"/>
      <c r="V452" s="5"/>
      <c r="W452" s="5"/>
    </row>
    <row r="453" spans="1:23" ht="16" x14ac:dyDescent="0.2">
      <c r="A453" s="5"/>
      <c r="B453" s="6"/>
      <c r="C453" s="6"/>
      <c r="D453" s="6"/>
      <c r="E453" s="6"/>
      <c r="F453" s="5"/>
      <c r="G453" s="5"/>
      <c r="H453" s="5"/>
      <c r="I453" s="5"/>
      <c r="J453" s="5"/>
      <c r="K453" s="5"/>
      <c r="L453" s="5"/>
      <c r="M453" s="5"/>
      <c r="N453" s="5"/>
      <c r="O453" s="5"/>
      <c r="P453" s="5"/>
      <c r="Q453" s="5"/>
      <c r="R453" s="5"/>
      <c r="S453" s="5"/>
      <c r="T453" s="5"/>
      <c r="U453" s="5"/>
      <c r="V453" s="5"/>
      <c r="W453" s="5"/>
    </row>
    <row r="454" spans="1:23" ht="16" x14ac:dyDescent="0.2">
      <c r="A454" s="5"/>
      <c r="B454" s="6"/>
      <c r="C454" s="6"/>
      <c r="D454" s="6"/>
      <c r="E454" s="6"/>
      <c r="F454" s="5"/>
      <c r="G454" s="5"/>
      <c r="H454" s="5"/>
      <c r="I454" s="5"/>
      <c r="J454" s="5"/>
      <c r="K454" s="5"/>
      <c r="L454" s="5"/>
      <c r="M454" s="5"/>
      <c r="N454" s="5"/>
      <c r="O454" s="5"/>
      <c r="P454" s="5"/>
      <c r="Q454" s="5"/>
      <c r="R454" s="5"/>
      <c r="S454" s="5"/>
      <c r="T454" s="5"/>
      <c r="U454" s="5"/>
      <c r="V454" s="5"/>
      <c r="W454" s="5"/>
    </row>
    <row r="455" spans="1:23" ht="16" x14ac:dyDescent="0.2">
      <c r="A455" s="5"/>
      <c r="B455" s="6"/>
      <c r="C455" s="6"/>
      <c r="D455" s="6"/>
      <c r="E455" s="6"/>
      <c r="F455" s="5"/>
      <c r="G455" s="5"/>
      <c r="H455" s="5"/>
      <c r="I455" s="5"/>
      <c r="J455" s="5"/>
      <c r="K455" s="5"/>
      <c r="L455" s="5"/>
      <c r="M455" s="5"/>
      <c r="N455" s="5"/>
      <c r="O455" s="5"/>
      <c r="P455" s="5"/>
      <c r="Q455" s="5"/>
      <c r="R455" s="5"/>
      <c r="S455" s="5"/>
      <c r="T455" s="5"/>
      <c r="U455" s="5"/>
      <c r="V455" s="5"/>
      <c r="W455" s="5"/>
    </row>
    <row r="456" spans="1:23" ht="16" x14ac:dyDescent="0.2">
      <c r="A456" s="5"/>
      <c r="B456" s="6"/>
      <c r="C456" s="6"/>
      <c r="D456" s="6"/>
      <c r="E456" s="6"/>
      <c r="F456" s="5"/>
      <c r="G456" s="5"/>
      <c r="H456" s="5"/>
      <c r="I456" s="5"/>
      <c r="J456" s="5"/>
      <c r="K456" s="5"/>
      <c r="L456" s="5"/>
      <c r="M456" s="5"/>
      <c r="N456" s="5"/>
      <c r="O456" s="5"/>
      <c r="P456" s="5"/>
      <c r="Q456" s="5"/>
      <c r="R456" s="5"/>
      <c r="S456" s="5"/>
      <c r="T456" s="5"/>
      <c r="U456" s="5"/>
      <c r="V456" s="5"/>
      <c r="W456" s="5"/>
    </row>
    <row r="457" spans="1:23" ht="16" x14ac:dyDescent="0.2">
      <c r="A457" s="5"/>
      <c r="B457" s="6"/>
      <c r="C457" s="6"/>
      <c r="D457" s="6"/>
      <c r="E457" s="6"/>
      <c r="F457" s="5"/>
      <c r="G457" s="5"/>
      <c r="H457" s="5"/>
      <c r="I457" s="5"/>
      <c r="J457" s="5"/>
      <c r="K457" s="5"/>
      <c r="L457" s="5"/>
      <c r="M457" s="5"/>
      <c r="N457" s="5"/>
      <c r="O457" s="5"/>
      <c r="P457" s="5"/>
      <c r="Q457" s="5"/>
      <c r="R457" s="5"/>
      <c r="S457" s="5"/>
      <c r="T457" s="5"/>
      <c r="U457" s="5"/>
      <c r="V457" s="5"/>
      <c r="W457" s="5"/>
    </row>
    <row r="458" spans="1:23" ht="16" x14ac:dyDescent="0.2">
      <c r="A458" s="5"/>
      <c r="B458" s="6"/>
      <c r="C458" s="6"/>
      <c r="D458" s="6"/>
      <c r="E458" s="6"/>
      <c r="F458" s="5"/>
      <c r="G458" s="5"/>
      <c r="H458" s="5"/>
      <c r="I458" s="5"/>
      <c r="J458" s="5"/>
      <c r="K458" s="5"/>
      <c r="L458" s="5"/>
      <c r="M458" s="5"/>
      <c r="N458" s="5"/>
      <c r="O458" s="5"/>
      <c r="P458" s="5"/>
      <c r="Q458" s="5"/>
      <c r="R458" s="5"/>
      <c r="S458" s="5"/>
      <c r="T458" s="5"/>
      <c r="U458" s="5"/>
      <c r="V458" s="5"/>
      <c r="W458" s="5"/>
    </row>
    <row r="459" spans="1:23" ht="16" x14ac:dyDescent="0.2">
      <c r="A459" s="5"/>
      <c r="B459" s="6"/>
      <c r="C459" s="6"/>
      <c r="D459" s="6"/>
      <c r="E459" s="6"/>
      <c r="F459" s="5"/>
      <c r="G459" s="5"/>
      <c r="H459" s="5"/>
      <c r="I459" s="5"/>
      <c r="J459" s="5"/>
      <c r="K459" s="5"/>
      <c r="L459" s="5"/>
      <c r="M459" s="5"/>
      <c r="N459" s="5"/>
      <c r="O459" s="5"/>
      <c r="P459" s="5"/>
      <c r="Q459" s="5"/>
      <c r="R459" s="5"/>
      <c r="S459" s="5"/>
      <c r="T459" s="5"/>
      <c r="U459" s="5"/>
      <c r="V459" s="5"/>
      <c r="W459" s="5"/>
    </row>
    <row r="460" spans="1:23" ht="16" x14ac:dyDescent="0.2">
      <c r="A460" s="5"/>
      <c r="B460" s="6"/>
      <c r="C460" s="6"/>
      <c r="D460" s="6"/>
      <c r="E460" s="6"/>
      <c r="F460" s="5"/>
      <c r="G460" s="5"/>
      <c r="H460" s="5"/>
      <c r="I460" s="5"/>
      <c r="J460" s="5"/>
      <c r="K460" s="5"/>
      <c r="L460" s="5"/>
      <c r="M460" s="5"/>
      <c r="N460" s="5"/>
      <c r="O460" s="5"/>
      <c r="P460" s="5"/>
      <c r="Q460" s="5"/>
      <c r="R460" s="5"/>
      <c r="S460" s="5"/>
      <c r="T460" s="5"/>
      <c r="U460" s="5"/>
      <c r="V460" s="5"/>
      <c r="W460" s="5"/>
    </row>
    <row r="461" spans="1:23" ht="16" x14ac:dyDescent="0.2">
      <c r="A461" s="5"/>
      <c r="B461" s="6"/>
      <c r="C461" s="6"/>
      <c r="D461" s="6"/>
      <c r="E461" s="6"/>
      <c r="F461" s="5"/>
      <c r="G461" s="5"/>
      <c r="H461" s="5"/>
      <c r="I461" s="5"/>
      <c r="J461" s="5"/>
      <c r="K461" s="5"/>
      <c r="L461" s="5"/>
      <c r="M461" s="5"/>
      <c r="N461" s="5"/>
      <c r="O461" s="5"/>
      <c r="P461" s="5"/>
      <c r="Q461" s="5"/>
      <c r="R461" s="5"/>
      <c r="S461" s="5"/>
      <c r="T461" s="5"/>
      <c r="U461" s="5"/>
      <c r="V461" s="5"/>
      <c r="W461" s="5"/>
    </row>
    <row r="462" spans="1:23" ht="16" x14ac:dyDescent="0.2">
      <c r="A462" s="5"/>
      <c r="B462" s="6"/>
      <c r="C462" s="6"/>
      <c r="D462" s="6"/>
      <c r="E462" s="6"/>
      <c r="F462" s="5"/>
      <c r="G462" s="5"/>
      <c r="H462" s="5"/>
      <c r="I462" s="5"/>
      <c r="J462" s="5"/>
      <c r="K462" s="5"/>
      <c r="L462" s="5"/>
      <c r="M462" s="5"/>
      <c r="N462" s="5"/>
      <c r="O462" s="5"/>
      <c r="P462" s="5"/>
      <c r="Q462" s="5"/>
      <c r="R462" s="5"/>
      <c r="S462" s="5"/>
      <c r="T462" s="5"/>
      <c r="U462" s="5"/>
      <c r="V462" s="5"/>
      <c r="W462" s="5"/>
    </row>
    <row r="463" spans="1:23" ht="16" x14ac:dyDescent="0.2">
      <c r="A463" s="5"/>
      <c r="B463" s="6"/>
      <c r="C463" s="6"/>
      <c r="D463" s="6"/>
      <c r="E463" s="6"/>
      <c r="F463" s="5"/>
      <c r="G463" s="5"/>
      <c r="H463" s="5"/>
      <c r="I463" s="5"/>
      <c r="J463" s="5"/>
      <c r="K463" s="5"/>
      <c r="L463" s="5"/>
      <c r="M463" s="5"/>
      <c r="N463" s="5"/>
      <c r="O463" s="5"/>
      <c r="P463" s="5"/>
      <c r="Q463" s="5"/>
      <c r="R463" s="5"/>
      <c r="S463" s="5"/>
      <c r="T463" s="5"/>
      <c r="U463" s="5"/>
      <c r="V463" s="5"/>
      <c r="W463" s="5"/>
    </row>
    <row r="464" spans="1:23" ht="16" x14ac:dyDescent="0.2">
      <c r="A464" s="5"/>
      <c r="B464" s="6"/>
      <c r="C464" s="6"/>
      <c r="D464" s="6"/>
      <c r="E464" s="6"/>
      <c r="F464" s="5"/>
      <c r="G464" s="5"/>
      <c r="H464" s="5"/>
      <c r="I464" s="5"/>
      <c r="J464" s="5"/>
      <c r="K464" s="5"/>
      <c r="L464" s="5"/>
      <c r="M464" s="5"/>
      <c r="N464" s="5"/>
      <c r="O464" s="5"/>
      <c r="P464" s="5"/>
      <c r="Q464" s="5"/>
      <c r="R464" s="5"/>
      <c r="S464" s="5"/>
      <c r="T464" s="5"/>
      <c r="U464" s="5"/>
      <c r="V464" s="5"/>
      <c r="W464" s="5"/>
    </row>
    <row r="465" spans="1:23" ht="16" x14ac:dyDescent="0.2">
      <c r="A465" s="5"/>
      <c r="B465" s="6"/>
      <c r="C465" s="6"/>
      <c r="D465" s="6"/>
      <c r="E465" s="6"/>
      <c r="F465" s="5"/>
      <c r="G465" s="5"/>
      <c r="H465" s="5"/>
      <c r="I465" s="5"/>
      <c r="J465" s="5"/>
      <c r="K465" s="5"/>
      <c r="L465" s="5"/>
      <c r="M465" s="5"/>
      <c r="N465" s="5"/>
      <c r="O465" s="5"/>
      <c r="P465" s="5"/>
      <c r="Q465" s="5"/>
      <c r="R465" s="5"/>
      <c r="S465" s="5"/>
      <c r="T465" s="5"/>
      <c r="U465" s="5"/>
      <c r="V465" s="5"/>
      <c r="W465" s="5"/>
    </row>
    <row r="466" spans="1:23" ht="16" x14ac:dyDescent="0.2">
      <c r="A466" s="5"/>
      <c r="B466" s="6"/>
      <c r="C466" s="6"/>
      <c r="D466" s="6"/>
      <c r="E466" s="6"/>
      <c r="F466" s="5"/>
      <c r="G466" s="5"/>
      <c r="H466" s="5"/>
      <c r="I466" s="5"/>
      <c r="J466" s="5"/>
      <c r="K466" s="5"/>
      <c r="L466" s="5"/>
      <c r="M466" s="5"/>
      <c r="N466" s="5"/>
      <c r="O466" s="5"/>
      <c r="P466" s="5"/>
      <c r="Q466" s="5"/>
      <c r="R466" s="5"/>
      <c r="S466" s="5"/>
      <c r="T466" s="5"/>
      <c r="U466" s="5"/>
      <c r="V466" s="5"/>
      <c r="W466" s="5"/>
    </row>
    <row r="467" spans="1:23" ht="16" x14ac:dyDescent="0.2">
      <c r="A467" s="5"/>
      <c r="B467" s="6"/>
      <c r="C467" s="6"/>
      <c r="D467" s="6"/>
      <c r="E467" s="6"/>
      <c r="F467" s="5"/>
      <c r="G467" s="5"/>
      <c r="H467" s="5"/>
      <c r="I467" s="5"/>
      <c r="J467" s="5"/>
      <c r="K467" s="5"/>
      <c r="L467" s="5"/>
      <c r="M467" s="5"/>
      <c r="N467" s="5"/>
      <c r="O467" s="5"/>
      <c r="P467" s="5"/>
      <c r="Q467" s="5"/>
      <c r="R467" s="5"/>
      <c r="S467" s="5"/>
      <c r="T467" s="5"/>
      <c r="U467" s="5"/>
      <c r="V467" s="5"/>
      <c r="W467" s="5"/>
    </row>
    <row r="468" spans="1:23" ht="16" x14ac:dyDescent="0.2">
      <c r="A468" s="5"/>
      <c r="B468" s="6"/>
      <c r="C468" s="6"/>
      <c r="D468" s="6"/>
      <c r="E468" s="6"/>
      <c r="F468" s="5"/>
      <c r="G468" s="5"/>
      <c r="H468" s="5"/>
      <c r="I468" s="5"/>
      <c r="J468" s="5"/>
      <c r="K468" s="5"/>
      <c r="L468" s="5"/>
      <c r="M468" s="5"/>
      <c r="N468" s="5"/>
      <c r="O468" s="5"/>
      <c r="P468" s="5"/>
      <c r="Q468" s="5"/>
      <c r="R468" s="5"/>
      <c r="S468" s="5"/>
      <c r="T468" s="5"/>
      <c r="U468" s="5"/>
      <c r="V468" s="5"/>
      <c r="W468" s="5"/>
    </row>
    <row r="469" spans="1:23" ht="16" x14ac:dyDescent="0.2">
      <c r="A469" s="5"/>
      <c r="B469" s="6"/>
      <c r="C469" s="6"/>
      <c r="D469" s="6"/>
      <c r="E469" s="6"/>
      <c r="F469" s="5"/>
      <c r="G469" s="5"/>
      <c r="H469" s="5"/>
      <c r="I469" s="5"/>
      <c r="J469" s="5"/>
      <c r="K469" s="5"/>
      <c r="L469" s="5"/>
      <c r="M469" s="5"/>
      <c r="N469" s="5"/>
      <c r="O469" s="5"/>
      <c r="P469" s="5"/>
      <c r="Q469" s="5"/>
      <c r="R469" s="5"/>
      <c r="S469" s="5"/>
      <c r="T469" s="5"/>
      <c r="U469" s="5"/>
      <c r="V469" s="5"/>
      <c r="W469" s="5"/>
    </row>
    <row r="470" spans="1:23" ht="16" x14ac:dyDescent="0.2">
      <c r="A470" s="5"/>
      <c r="B470" s="6"/>
      <c r="C470" s="6"/>
      <c r="D470" s="6"/>
      <c r="E470" s="6"/>
      <c r="F470" s="5"/>
      <c r="G470" s="5"/>
      <c r="H470" s="5"/>
      <c r="I470" s="5"/>
      <c r="J470" s="5"/>
      <c r="K470" s="5"/>
      <c r="L470" s="5"/>
      <c r="M470" s="5"/>
      <c r="N470" s="5"/>
      <c r="O470" s="5"/>
      <c r="P470" s="5"/>
      <c r="Q470" s="5"/>
      <c r="R470" s="5"/>
      <c r="S470" s="5"/>
      <c r="T470" s="5"/>
      <c r="U470" s="5"/>
      <c r="V470" s="5"/>
      <c r="W470" s="5"/>
    </row>
    <row r="471" spans="1:23" ht="16" x14ac:dyDescent="0.2">
      <c r="A471" s="5"/>
      <c r="B471" s="6"/>
      <c r="C471" s="6"/>
      <c r="D471" s="6"/>
      <c r="E471" s="6"/>
      <c r="F471" s="5"/>
      <c r="G471" s="5"/>
      <c r="H471" s="5"/>
      <c r="I471" s="5"/>
      <c r="J471" s="5"/>
      <c r="K471" s="5"/>
      <c r="L471" s="5"/>
      <c r="M471" s="5"/>
      <c r="N471" s="5"/>
      <c r="O471" s="5"/>
      <c r="P471" s="5"/>
      <c r="Q471" s="5"/>
      <c r="R471" s="5"/>
      <c r="S471" s="5"/>
      <c r="T471" s="5"/>
      <c r="U471" s="5"/>
      <c r="V471" s="5"/>
      <c r="W471" s="5"/>
    </row>
    <row r="472" spans="1:23" ht="16" x14ac:dyDescent="0.2">
      <c r="A472" s="5"/>
      <c r="B472" s="6"/>
      <c r="C472" s="6"/>
      <c r="D472" s="6"/>
      <c r="E472" s="6"/>
      <c r="F472" s="5"/>
      <c r="G472" s="5"/>
      <c r="H472" s="5"/>
      <c r="I472" s="5"/>
      <c r="J472" s="5"/>
      <c r="K472" s="5"/>
      <c r="L472" s="5"/>
      <c r="M472" s="5"/>
      <c r="N472" s="5"/>
      <c r="O472" s="5"/>
      <c r="P472" s="5"/>
      <c r="Q472" s="5"/>
      <c r="R472" s="5"/>
      <c r="S472" s="5"/>
      <c r="T472" s="5"/>
      <c r="U472" s="5"/>
      <c r="V472" s="5"/>
      <c r="W472" s="5"/>
    </row>
    <row r="473" spans="1:23" ht="16" x14ac:dyDescent="0.2">
      <c r="A473" s="5"/>
      <c r="B473" s="6"/>
      <c r="C473" s="6"/>
      <c r="D473" s="6"/>
      <c r="E473" s="6"/>
      <c r="F473" s="5"/>
      <c r="G473" s="5"/>
      <c r="H473" s="5"/>
      <c r="I473" s="5"/>
      <c r="J473" s="5"/>
      <c r="K473" s="5"/>
      <c r="L473" s="5"/>
      <c r="M473" s="5"/>
      <c r="N473" s="5"/>
      <c r="O473" s="5"/>
      <c r="P473" s="5"/>
      <c r="Q473" s="5"/>
      <c r="R473" s="5"/>
      <c r="S473" s="5"/>
      <c r="T473" s="5"/>
      <c r="U473" s="5"/>
      <c r="V473" s="5"/>
      <c r="W473" s="5"/>
    </row>
    <row r="474" spans="1:23" ht="16" x14ac:dyDescent="0.2">
      <c r="A474" s="5"/>
      <c r="B474" s="6"/>
      <c r="C474" s="6"/>
      <c r="D474" s="6"/>
      <c r="E474" s="6"/>
      <c r="F474" s="5"/>
      <c r="G474" s="5"/>
      <c r="H474" s="5"/>
      <c r="I474" s="5"/>
      <c r="J474" s="5"/>
      <c r="K474" s="5"/>
      <c r="L474" s="5"/>
      <c r="M474" s="5"/>
      <c r="N474" s="5"/>
      <c r="O474" s="5"/>
      <c r="P474" s="5"/>
      <c r="Q474" s="5"/>
      <c r="R474" s="5"/>
      <c r="S474" s="5"/>
      <c r="T474" s="5"/>
      <c r="U474" s="5"/>
      <c r="V474" s="5"/>
      <c r="W474" s="5"/>
    </row>
    <row r="475" spans="1:23" ht="16" x14ac:dyDescent="0.2">
      <c r="A475" s="5"/>
      <c r="B475" s="6"/>
      <c r="C475" s="6"/>
      <c r="D475" s="6"/>
      <c r="E475" s="6"/>
      <c r="F475" s="5"/>
      <c r="G475" s="5"/>
      <c r="H475" s="5"/>
      <c r="I475" s="5"/>
      <c r="J475" s="5"/>
      <c r="K475" s="5"/>
      <c r="L475" s="5"/>
      <c r="M475" s="5"/>
      <c r="N475" s="5"/>
      <c r="O475" s="5"/>
      <c r="P475" s="5"/>
      <c r="Q475" s="5"/>
      <c r="R475" s="5"/>
      <c r="S475" s="5"/>
      <c r="T475" s="5"/>
      <c r="U475" s="5"/>
      <c r="V475" s="5"/>
      <c r="W475" s="5"/>
    </row>
    <row r="476" spans="1:23" ht="16" x14ac:dyDescent="0.2">
      <c r="A476" s="5"/>
      <c r="B476" s="6"/>
      <c r="C476" s="6"/>
      <c r="D476" s="6"/>
      <c r="E476" s="6"/>
      <c r="F476" s="5"/>
      <c r="G476" s="5"/>
      <c r="H476" s="5"/>
      <c r="I476" s="5"/>
      <c r="J476" s="5"/>
      <c r="K476" s="5"/>
      <c r="L476" s="5"/>
      <c r="M476" s="5"/>
      <c r="N476" s="5"/>
      <c r="O476" s="5"/>
      <c r="P476" s="5"/>
      <c r="Q476" s="5"/>
      <c r="R476" s="5"/>
      <c r="S476" s="5"/>
      <c r="T476" s="5"/>
      <c r="U476" s="5"/>
      <c r="V476" s="5"/>
      <c r="W476" s="5"/>
    </row>
    <row r="477" spans="1:23" ht="16" x14ac:dyDescent="0.2">
      <c r="A477" s="5"/>
      <c r="B477" s="6"/>
      <c r="C477" s="6"/>
      <c r="D477" s="6"/>
      <c r="E477" s="6"/>
      <c r="F477" s="5"/>
      <c r="G477" s="5"/>
      <c r="H477" s="5"/>
      <c r="I477" s="5"/>
      <c r="J477" s="5"/>
      <c r="K477" s="5"/>
      <c r="L477" s="5"/>
      <c r="M477" s="5"/>
      <c r="N477" s="5"/>
      <c r="O477" s="5"/>
      <c r="P477" s="5"/>
      <c r="Q477" s="5"/>
      <c r="R477" s="5"/>
      <c r="S477" s="5"/>
      <c r="T477" s="5"/>
      <c r="U477" s="5"/>
      <c r="V477" s="5"/>
      <c r="W477" s="5"/>
    </row>
    <row r="478" spans="1:23" ht="16" x14ac:dyDescent="0.2">
      <c r="A478" s="5"/>
      <c r="B478" s="6"/>
      <c r="C478" s="6"/>
      <c r="D478" s="6"/>
      <c r="E478" s="6"/>
      <c r="F478" s="5"/>
      <c r="G478" s="5"/>
      <c r="H478" s="5"/>
      <c r="I478" s="5"/>
      <c r="J478" s="5"/>
      <c r="K478" s="5"/>
      <c r="L478" s="5"/>
      <c r="M478" s="5"/>
      <c r="N478" s="5"/>
      <c r="O478" s="5"/>
      <c r="P478" s="5"/>
      <c r="Q478" s="5"/>
      <c r="R478" s="5"/>
      <c r="S478" s="5"/>
      <c r="T478" s="5"/>
      <c r="U478" s="5"/>
      <c r="V478" s="5"/>
      <c r="W478" s="5"/>
    </row>
    <row r="479" spans="1:23" ht="16" x14ac:dyDescent="0.2">
      <c r="A479" s="5"/>
      <c r="B479" s="6"/>
      <c r="C479" s="6"/>
      <c r="D479" s="6"/>
      <c r="E479" s="6"/>
      <c r="F479" s="5"/>
      <c r="G479" s="5"/>
      <c r="H479" s="5"/>
      <c r="I479" s="5"/>
      <c r="J479" s="5"/>
      <c r="K479" s="5"/>
      <c r="L479" s="5"/>
      <c r="M479" s="5"/>
      <c r="N479" s="5"/>
      <c r="O479" s="5"/>
      <c r="P479" s="5"/>
      <c r="Q479" s="5"/>
      <c r="R479" s="5"/>
      <c r="S479" s="5"/>
      <c r="T479" s="5"/>
      <c r="U479" s="5"/>
      <c r="V479" s="5"/>
      <c r="W479" s="5"/>
    </row>
    <row r="480" spans="1:23" ht="16" x14ac:dyDescent="0.2">
      <c r="A480" s="5"/>
      <c r="B480" s="6"/>
      <c r="C480" s="6"/>
      <c r="D480" s="6"/>
      <c r="E480" s="6"/>
      <c r="F480" s="5"/>
      <c r="G480" s="5"/>
      <c r="H480" s="5"/>
      <c r="I480" s="5"/>
      <c r="J480" s="5"/>
      <c r="K480" s="5"/>
      <c r="L480" s="5"/>
      <c r="M480" s="5"/>
      <c r="N480" s="5"/>
      <c r="O480" s="5"/>
      <c r="P480" s="5"/>
      <c r="Q480" s="5"/>
      <c r="R480" s="5"/>
      <c r="S480" s="5"/>
      <c r="T480" s="5"/>
      <c r="U480" s="5"/>
      <c r="V480" s="5"/>
      <c r="W480" s="5"/>
    </row>
    <row r="481" spans="1:23" ht="16" x14ac:dyDescent="0.2">
      <c r="A481" s="5"/>
      <c r="B481" s="6"/>
      <c r="C481" s="6"/>
      <c r="D481" s="6"/>
      <c r="E481" s="6"/>
      <c r="F481" s="5"/>
      <c r="G481" s="5"/>
      <c r="H481" s="5"/>
      <c r="I481" s="5"/>
      <c r="J481" s="5"/>
      <c r="K481" s="5"/>
      <c r="L481" s="5"/>
      <c r="M481" s="5"/>
      <c r="N481" s="5"/>
      <c r="O481" s="5"/>
      <c r="P481" s="5"/>
      <c r="Q481" s="5"/>
      <c r="R481" s="5"/>
      <c r="S481" s="5"/>
      <c r="T481" s="5"/>
      <c r="U481" s="5"/>
      <c r="V481" s="5"/>
      <c r="W481" s="5"/>
    </row>
    <row r="482" spans="1:23" ht="16" x14ac:dyDescent="0.2">
      <c r="A482" s="5"/>
      <c r="B482" s="6"/>
      <c r="C482" s="6"/>
      <c r="D482" s="6"/>
      <c r="E482" s="6"/>
      <c r="F482" s="5"/>
      <c r="G482" s="5"/>
      <c r="H482" s="5"/>
      <c r="I482" s="5"/>
      <c r="J482" s="5"/>
      <c r="K482" s="5"/>
      <c r="L482" s="5"/>
      <c r="M482" s="5"/>
      <c r="N482" s="5"/>
      <c r="O482" s="5"/>
      <c r="P482" s="5"/>
      <c r="Q482" s="5"/>
      <c r="R482" s="5"/>
      <c r="S482" s="5"/>
      <c r="T482" s="5"/>
      <c r="U482" s="5"/>
      <c r="V482" s="5"/>
      <c r="W482" s="5"/>
    </row>
    <row r="483" spans="1:23" ht="16" x14ac:dyDescent="0.2">
      <c r="A483" s="5"/>
      <c r="B483" s="6"/>
      <c r="C483" s="6"/>
      <c r="D483" s="6"/>
      <c r="E483" s="6"/>
      <c r="F483" s="5"/>
      <c r="G483" s="5"/>
      <c r="H483" s="5"/>
      <c r="I483" s="5"/>
      <c r="J483" s="5"/>
      <c r="K483" s="5"/>
      <c r="L483" s="5"/>
      <c r="M483" s="5"/>
      <c r="N483" s="5"/>
      <c r="O483" s="5"/>
      <c r="P483" s="5"/>
      <c r="Q483" s="5"/>
      <c r="R483" s="5"/>
      <c r="S483" s="5"/>
      <c r="T483" s="5"/>
      <c r="U483" s="5"/>
      <c r="V483" s="5"/>
      <c r="W483" s="5"/>
    </row>
    <row r="484" spans="1:23" ht="16" x14ac:dyDescent="0.2">
      <c r="A484" s="5"/>
      <c r="B484" s="6"/>
      <c r="C484" s="6"/>
      <c r="D484" s="6"/>
      <c r="E484" s="6"/>
      <c r="F484" s="5"/>
      <c r="G484" s="5"/>
      <c r="H484" s="5"/>
      <c r="I484" s="5"/>
      <c r="J484" s="5"/>
      <c r="K484" s="5"/>
      <c r="L484" s="5"/>
      <c r="M484" s="5"/>
      <c r="N484" s="5"/>
      <c r="O484" s="5"/>
      <c r="P484" s="5"/>
      <c r="Q484" s="5"/>
      <c r="R484" s="5"/>
      <c r="S484" s="5"/>
      <c r="T484" s="5"/>
      <c r="U484" s="5"/>
      <c r="V484" s="5"/>
      <c r="W484" s="5"/>
    </row>
    <row r="485" spans="1:23" ht="16" x14ac:dyDescent="0.2">
      <c r="A485" s="5"/>
      <c r="B485" s="6"/>
      <c r="C485" s="6"/>
      <c r="D485" s="6"/>
      <c r="E485" s="6"/>
      <c r="F485" s="5"/>
      <c r="G485" s="5"/>
      <c r="H485" s="5"/>
      <c r="I485" s="5"/>
      <c r="J485" s="5"/>
      <c r="K485" s="5"/>
      <c r="L485" s="5"/>
      <c r="M485" s="5"/>
      <c r="N485" s="5"/>
      <c r="O485" s="5"/>
      <c r="P485" s="5"/>
      <c r="Q485" s="5"/>
      <c r="R485" s="5"/>
      <c r="S485" s="5"/>
      <c r="T485" s="5"/>
      <c r="U485" s="5"/>
      <c r="V485" s="5"/>
      <c r="W485" s="5"/>
    </row>
    <row r="486" spans="1:23" ht="16" x14ac:dyDescent="0.2">
      <c r="A486" s="5"/>
      <c r="B486" s="6"/>
      <c r="C486" s="6"/>
      <c r="D486" s="6"/>
      <c r="E486" s="6"/>
      <c r="F486" s="5"/>
      <c r="G486" s="5"/>
      <c r="H486" s="5"/>
      <c r="I486" s="5"/>
      <c r="J486" s="5"/>
      <c r="K486" s="5"/>
      <c r="L486" s="5"/>
      <c r="M486" s="5"/>
      <c r="N486" s="5"/>
      <c r="O486" s="5"/>
      <c r="P486" s="5"/>
      <c r="Q486" s="5"/>
      <c r="R486" s="5"/>
      <c r="S486" s="5"/>
      <c r="T486" s="5"/>
      <c r="U486" s="5"/>
      <c r="V486" s="5"/>
      <c r="W486" s="5"/>
    </row>
    <row r="487" spans="1:23" ht="16" x14ac:dyDescent="0.2">
      <c r="A487" s="5"/>
      <c r="B487" s="6"/>
      <c r="C487" s="6"/>
      <c r="D487" s="6"/>
      <c r="E487" s="6"/>
      <c r="F487" s="5"/>
      <c r="G487" s="5"/>
      <c r="H487" s="5"/>
      <c r="I487" s="5"/>
      <c r="J487" s="5"/>
      <c r="K487" s="5"/>
      <c r="L487" s="5"/>
      <c r="M487" s="5"/>
      <c r="N487" s="5"/>
      <c r="O487" s="5"/>
      <c r="P487" s="5"/>
      <c r="Q487" s="5"/>
      <c r="R487" s="5"/>
      <c r="S487" s="5"/>
      <c r="T487" s="5"/>
      <c r="U487" s="5"/>
      <c r="V487" s="5"/>
      <c r="W487" s="5"/>
    </row>
    <row r="488" spans="1:23" ht="16" x14ac:dyDescent="0.2">
      <c r="A488" s="5"/>
      <c r="B488" s="6"/>
      <c r="C488" s="6"/>
      <c r="D488" s="6"/>
      <c r="E488" s="6"/>
      <c r="F488" s="5"/>
      <c r="G488" s="5"/>
      <c r="H488" s="5"/>
      <c r="I488" s="5"/>
      <c r="J488" s="5"/>
      <c r="K488" s="5"/>
      <c r="L488" s="5"/>
      <c r="M488" s="5"/>
      <c r="N488" s="5"/>
      <c r="O488" s="5"/>
      <c r="P488" s="5"/>
      <c r="Q488" s="5"/>
      <c r="R488" s="5"/>
      <c r="S488" s="5"/>
      <c r="T488" s="5"/>
      <c r="U488" s="5"/>
      <c r="V488" s="5"/>
      <c r="W488" s="5"/>
    </row>
    <row r="489" spans="1:23" ht="16" x14ac:dyDescent="0.2">
      <c r="A489" s="5"/>
      <c r="B489" s="6"/>
      <c r="C489" s="6"/>
      <c r="D489" s="6"/>
      <c r="E489" s="6"/>
      <c r="F489" s="5"/>
      <c r="G489" s="5"/>
      <c r="H489" s="5"/>
      <c r="I489" s="5"/>
      <c r="J489" s="5"/>
      <c r="K489" s="5"/>
      <c r="L489" s="5"/>
      <c r="M489" s="5"/>
      <c r="N489" s="5"/>
      <c r="O489" s="5"/>
      <c r="P489" s="5"/>
      <c r="Q489" s="5"/>
      <c r="R489" s="5"/>
      <c r="S489" s="5"/>
      <c r="T489" s="5"/>
      <c r="U489" s="5"/>
      <c r="V489" s="5"/>
      <c r="W489" s="5"/>
    </row>
    <row r="490" spans="1:23" ht="16" x14ac:dyDescent="0.2">
      <c r="A490" s="5"/>
      <c r="B490" s="6"/>
      <c r="C490" s="6"/>
      <c r="D490" s="6"/>
      <c r="E490" s="6"/>
      <c r="F490" s="5"/>
      <c r="G490" s="5"/>
      <c r="H490" s="5"/>
      <c r="I490" s="5"/>
      <c r="J490" s="5"/>
      <c r="K490" s="5"/>
      <c r="L490" s="5"/>
      <c r="M490" s="5"/>
      <c r="N490" s="5"/>
      <c r="O490" s="5"/>
      <c r="P490" s="5"/>
      <c r="Q490" s="5"/>
      <c r="R490" s="5"/>
      <c r="S490" s="5"/>
      <c r="T490" s="5"/>
      <c r="U490" s="5"/>
      <c r="V490" s="5"/>
      <c r="W490" s="5"/>
    </row>
    <row r="491" spans="1:23" ht="16" x14ac:dyDescent="0.2">
      <c r="A491" s="5"/>
      <c r="B491" s="6"/>
      <c r="C491" s="6"/>
      <c r="D491" s="6"/>
      <c r="E491" s="6"/>
      <c r="F491" s="5"/>
      <c r="G491" s="5"/>
      <c r="H491" s="5"/>
      <c r="I491" s="5"/>
      <c r="J491" s="5"/>
      <c r="K491" s="5"/>
      <c r="L491" s="5"/>
      <c r="M491" s="5"/>
      <c r="N491" s="5"/>
      <c r="O491" s="5"/>
      <c r="P491" s="5"/>
      <c r="Q491" s="5"/>
      <c r="R491" s="5"/>
      <c r="S491" s="5"/>
      <c r="T491" s="5"/>
      <c r="U491" s="5"/>
      <c r="V491" s="5"/>
      <c r="W491" s="5"/>
    </row>
    <row r="492" spans="1:23" ht="16" x14ac:dyDescent="0.2">
      <c r="A492" s="5"/>
      <c r="B492" s="6"/>
      <c r="C492" s="6"/>
      <c r="D492" s="6"/>
      <c r="E492" s="6"/>
      <c r="F492" s="5"/>
      <c r="G492" s="5"/>
      <c r="H492" s="5"/>
      <c r="I492" s="5"/>
      <c r="J492" s="5"/>
      <c r="K492" s="5"/>
      <c r="L492" s="5"/>
      <c r="M492" s="5"/>
      <c r="N492" s="5"/>
      <c r="O492" s="5"/>
      <c r="P492" s="5"/>
      <c r="Q492" s="5"/>
      <c r="R492" s="5"/>
      <c r="S492" s="5"/>
      <c r="T492" s="5"/>
      <c r="U492" s="5"/>
      <c r="V492" s="5"/>
      <c r="W492" s="5"/>
    </row>
    <row r="493" spans="1:23" ht="16" x14ac:dyDescent="0.2">
      <c r="A493" s="5"/>
      <c r="B493" s="6"/>
      <c r="C493" s="6"/>
      <c r="D493" s="6"/>
      <c r="E493" s="6"/>
      <c r="F493" s="5"/>
      <c r="G493" s="5"/>
      <c r="H493" s="5"/>
      <c r="I493" s="5"/>
      <c r="J493" s="5"/>
      <c r="K493" s="5"/>
      <c r="L493" s="5"/>
      <c r="M493" s="5"/>
      <c r="N493" s="5"/>
      <c r="O493" s="5"/>
      <c r="P493" s="5"/>
      <c r="Q493" s="5"/>
      <c r="R493" s="5"/>
      <c r="S493" s="5"/>
      <c r="T493" s="5"/>
      <c r="U493" s="5"/>
      <c r="V493" s="5"/>
      <c r="W493" s="5"/>
    </row>
    <row r="494" spans="1:23" ht="16" x14ac:dyDescent="0.2">
      <c r="A494" s="5"/>
      <c r="B494" s="6"/>
      <c r="C494" s="6"/>
      <c r="D494" s="6"/>
      <c r="E494" s="6"/>
      <c r="F494" s="5"/>
      <c r="G494" s="5"/>
      <c r="H494" s="5"/>
      <c r="I494" s="5"/>
      <c r="J494" s="5"/>
      <c r="K494" s="5"/>
      <c r="L494" s="5"/>
      <c r="M494" s="5"/>
      <c r="N494" s="5"/>
      <c r="O494" s="5"/>
      <c r="P494" s="5"/>
      <c r="Q494" s="5"/>
      <c r="R494" s="5"/>
      <c r="S494" s="5"/>
      <c r="T494" s="5"/>
      <c r="U494" s="5"/>
      <c r="V494" s="5"/>
      <c r="W494" s="5"/>
    </row>
    <row r="495" spans="1:23" ht="16" x14ac:dyDescent="0.2">
      <c r="A495" s="5"/>
      <c r="B495" s="6"/>
      <c r="C495" s="6"/>
      <c r="D495" s="6"/>
      <c r="E495" s="6"/>
      <c r="F495" s="5"/>
      <c r="G495" s="5"/>
      <c r="H495" s="5"/>
      <c r="I495" s="5"/>
      <c r="J495" s="5"/>
      <c r="K495" s="5"/>
      <c r="L495" s="5"/>
      <c r="M495" s="5"/>
      <c r="N495" s="5"/>
      <c r="O495" s="5"/>
      <c r="P495" s="5"/>
      <c r="Q495" s="5"/>
      <c r="R495" s="5"/>
      <c r="S495" s="5"/>
      <c r="T495" s="5"/>
      <c r="U495" s="5"/>
      <c r="V495" s="5"/>
      <c r="W495" s="5"/>
    </row>
    <row r="496" spans="1:23" ht="16" x14ac:dyDescent="0.2">
      <c r="A496" s="5"/>
      <c r="B496" s="6"/>
      <c r="C496" s="6"/>
      <c r="D496" s="6"/>
      <c r="E496" s="6"/>
      <c r="F496" s="5"/>
      <c r="G496" s="5"/>
      <c r="H496" s="5"/>
      <c r="I496" s="5"/>
      <c r="J496" s="5"/>
      <c r="K496" s="5"/>
      <c r="L496" s="5"/>
      <c r="M496" s="5"/>
      <c r="N496" s="5"/>
      <c r="O496" s="5"/>
      <c r="P496" s="5"/>
      <c r="Q496" s="5"/>
      <c r="R496" s="5"/>
      <c r="S496" s="5"/>
      <c r="T496" s="5"/>
      <c r="U496" s="5"/>
      <c r="V496" s="5"/>
      <c r="W496" s="5"/>
    </row>
    <row r="497" spans="1:23" ht="16" x14ac:dyDescent="0.2">
      <c r="A497" s="5"/>
      <c r="B497" s="6"/>
      <c r="C497" s="6"/>
      <c r="D497" s="6"/>
      <c r="E497" s="6"/>
      <c r="F497" s="5"/>
      <c r="G497" s="5"/>
      <c r="H497" s="5"/>
      <c r="I497" s="5"/>
      <c r="J497" s="5"/>
      <c r="K497" s="5"/>
      <c r="L497" s="5"/>
      <c r="M497" s="5"/>
      <c r="N497" s="5"/>
      <c r="O497" s="5"/>
      <c r="P497" s="5"/>
      <c r="Q497" s="5"/>
      <c r="R497" s="5"/>
      <c r="S497" s="5"/>
      <c r="T497" s="5"/>
      <c r="U497" s="5"/>
      <c r="V497" s="5"/>
      <c r="W497" s="5"/>
    </row>
    <row r="498" spans="1:23" ht="16" x14ac:dyDescent="0.2">
      <c r="A498" s="5"/>
      <c r="B498" s="6"/>
      <c r="C498" s="6"/>
      <c r="D498" s="6"/>
      <c r="E498" s="6"/>
      <c r="F498" s="5"/>
      <c r="G498" s="5"/>
      <c r="H498" s="5"/>
      <c r="I498" s="5"/>
      <c r="J498" s="5"/>
      <c r="K498" s="5"/>
      <c r="L498" s="5"/>
      <c r="M498" s="5"/>
      <c r="N498" s="5"/>
      <c r="O498" s="5"/>
      <c r="P498" s="5"/>
      <c r="Q498" s="5"/>
      <c r="R498" s="5"/>
      <c r="S498" s="5"/>
      <c r="T498" s="5"/>
      <c r="U498" s="5"/>
      <c r="V498" s="5"/>
      <c r="W498" s="5"/>
    </row>
    <row r="499" spans="1:23" ht="16" x14ac:dyDescent="0.2">
      <c r="A499" s="5"/>
      <c r="B499" s="6"/>
      <c r="C499" s="6"/>
      <c r="D499" s="6"/>
      <c r="E499" s="6"/>
      <c r="F499" s="5"/>
      <c r="G499" s="5"/>
      <c r="H499" s="5"/>
      <c r="I499" s="5"/>
      <c r="J499" s="5"/>
      <c r="K499" s="5"/>
      <c r="L499" s="5"/>
      <c r="M499" s="5"/>
      <c r="N499" s="5"/>
      <c r="O499" s="5"/>
      <c r="P499" s="5"/>
      <c r="Q499" s="5"/>
      <c r="R499" s="5"/>
      <c r="S499" s="5"/>
      <c r="T499" s="5"/>
      <c r="U499" s="5"/>
      <c r="V499" s="5"/>
      <c r="W499" s="5"/>
    </row>
    <row r="500" spans="1:23" ht="16" x14ac:dyDescent="0.2">
      <c r="A500" s="5"/>
      <c r="B500" s="6"/>
      <c r="C500" s="6"/>
      <c r="D500" s="6"/>
      <c r="E500" s="6"/>
      <c r="F500" s="5"/>
      <c r="G500" s="5"/>
      <c r="H500" s="5"/>
      <c r="I500" s="5"/>
      <c r="J500" s="5"/>
      <c r="K500" s="5"/>
      <c r="L500" s="5"/>
      <c r="M500" s="5"/>
      <c r="N500" s="5"/>
      <c r="O500" s="5"/>
      <c r="P500" s="5"/>
      <c r="Q500" s="5"/>
      <c r="R500" s="5"/>
      <c r="S500" s="5"/>
      <c r="T500" s="5"/>
      <c r="U500" s="5"/>
      <c r="V500" s="5"/>
      <c r="W500" s="5"/>
    </row>
    <row r="501" spans="1:23" ht="16" x14ac:dyDescent="0.2">
      <c r="A501" s="5"/>
      <c r="B501" s="6"/>
      <c r="C501" s="6"/>
      <c r="D501" s="6"/>
      <c r="E501" s="6"/>
      <c r="F501" s="5"/>
      <c r="G501" s="5"/>
      <c r="H501" s="5"/>
      <c r="I501" s="5"/>
      <c r="J501" s="5"/>
      <c r="K501" s="5"/>
      <c r="L501" s="5"/>
      <c r="M501" s="5"/>
      <c r="N501" s="5"/>
      <c r="O501" s="5"/>
      <c r="P501" s="5"/>
      <c r="Q501" s="5"/>
      <c r="R501" s="5"/>
      <c r="S501" s="5"/>
      <c r="T501" s="5"/>
      <c r="U501" s="5"/>
      <c r="V501" s="5"/>
      <c r="W501" s="5"/>
    </row>
    <row r="502" spans="1:23" ht="16" x14ac:dyDescent="0.2">
      <c r="A502" s="5"/>
      <c r="B502" s="6"/>
      <c r="C502" s="6"/>
      <c r="D502" s="6"/>
      <c r="E502" s="6"/>
      <c r="F502" s="5"/>
      <c r="G502" s="5"/>
      <c r="H502" s="5"/>
      <c r="I502" s="5"/>
      <c r="J502" s="5"/>
      <c r="K502" s="5"/>
      <c r="L502" s="5"/>
      <c r="M502" s="5"/>
      <c r="N502" s="5"/>
      <c r="O502" s="5"/>
      <c r="P502" s="5"/>
      <c r="Q502" s="5"/>
      <c r="R502" s="5"/>
      <c r="S502" s="5"/>
      <c r="T502" s="5"/>
      <c r="U502" s="5"/>
      <c r="V502" s="5"/>
      <c r="W502" s="5"/>
    </row>
    <row r="503" spans="1:23" ht="16" x14ac:dyDescent="0.2">
      <c r="A503" s="5"/>
      <c r="B503" s="6"/>
      <c r="C503" s="6"/>
      <c r="D503" s="6"/>
      <c r="E503" s="6"/>
      <c r="F503" s="5"/>
      <c r="G503" s="5"/>
      <c r="H503" s="5"/>
      <c r="I503" s="5"/>
      <c r="J503" s="5"/>
      <c r="K503" s="5"/>
      <c r="L503" s="5"/>
      <c r="M503" s="5"/>
      <c r="N503" s="5"/>
      <c r="O503" s="5"/>
      <c r="P503" s="5"/>
      <c r="Q503" s="5"/>
      <c r="R503" s="5"/>
      <c r="S503" s="5"/>
      <c r="T503" s="5"/>
      <c r="U503" s="5"/>
      <c r="V503" s="5"/>
      <c r="W503" s="5"/>
    </row>
    <row r="504" spans="1:23" ht="16" x14ac:dyDescent="0.2">
      <c r="A504" s="5"/>
      <c r="B504" s="6"/>
      <c r="C504" s="6"/>
      <c r="D504" s="6"/>
      <c r="E504" s="6"/>
      <c r="F504" s="5"/>
      <c r="G504" s="5"/>
      <c r="H504" s="5"/>
      <c r="I504" s="5"/>
      <c r="J504" s="5"/>
      <c r="K504" s="5"/>
      <c r="L504" s="5"/>
      <c r="M504" s="5"/>
      <c r="N504" s="5"/>
      <c r="O504" s="5"/>
      <c r="P504" s="5"/>
      <c r="Q504" s="5"/>
      <c r="R504" s="5"/>
      <c r="S504" s="5"/>
      <c r="T504" s="5"/>
      <c r="U504" s="5"/>
      <c r="V504" s="5"/>
      <c r="W504" s="5"/>
    </row>
    <row r="505" spans="1:23" ht="16" x14ac:dyDescent="0.2">
      <c r="A505" s="5"/>
      <c r="B505" s="6"/>
      <c r="C505" s="6"/>
      <c r="D505" s="6"/>
      <c r="E505" s="6"/>
      <c r="F505" s="5"/>
      <c r="G505" s="5"/>
      <c r="H505" s="5"/>
      <c r="I505" s="5"/>
      <c r="J505" s="5"/>
      <c r="K505" s="5"/>
      <c r="L505" s="5"/>
      <c r="M505" s="5"/>
      <c r="N505" s="5"/>
      <c r="O505" s="5"/>
      <c r="P505" s="5"/>
      <c r="Q505" s="5"/>
      <c r="R505" s="5"/>
      <c r="S505" s="5"/>
      <c r="T505" s="5"/>
      <c r="U505" s="5"/>
      <c r="V505" s="5"/>
      <c r="W505" s="5"/>
    </row>
    <row r="506" spans="1:23" ht="16" x14ac:dyDescent="0.2">
      <c r="A506" s="5"/>
      <c r="B506" s="6"/>
      <c r="C506" s="6"/>
      <c r="D506" s="6"/>
      <c r="E506" s="6"/>
      <c r="F506" s="5"/>
      <c r="G506" s="5"/>
      <c r="H506" s="5"/>
      <c r="I506" s="5"/>
      <c r="J506" s="5"/>
      <c r="K506" s="5"/>
      <c r="L506" s="5"/>
      <c r="M506" s="5"/>
      <c r="N506" s="5"/>
      <c r="O506" s="5"/>
      <c r="P506" s="5"/>
      <c r="Q506" s="5"/>
      <c r="R506" s="5"/>
      <c r="S506" s="5"/>
      <c r="T506" s="5"/>
      <c r="U506" s="5"/>
      <c r="V506" s="5"/>
      <c r="W506" s="5"/>
    </row>
    <row r="507" spans="1:23" ht="16" x14ac:dyDescent="0.2">
      <c r="A507" s="5"/>
      <c r="B507" s="6"/>
      <c r="C507" s="6"/>
      <c r="D507" s="6"/>
      <c r="E507" s="6"/>
      <c r="F507" s="5"/>
      <c r="G507" s="5"/>
      <c r="H507" s="5"/>
      <c r="I507" s="5"/>
      <c r="J507" s="5"/>
      <c r="K507" s="5"/>
      <c r="L507" s="5"/>
      <c r="M507" s="5"/>
      <c r="N507" s="5"/>
      <c r="O507" s="5"/>
      <c r="P507" s="5"/>
      <c r="Q507" s="5"/>
      <c r="R507" s="5"/>
      <c r="S507" s="5"/>
      <c r="T507" s="5"/>
      <c r="U507" s="5"/>
      <c r="V507" s="5"/>
      <c r="W507" s="5"/>
    </row>
    <row r="508" spans="1:23" ht="16" x14ac:dyDescent="0.2">
      <c r="A508" s="5"/>
      <c r="B508" s="6"/>
      <c r="C508" s="6"/>
      <c r="D508" s="6"/>
      <c r="E508" s="6"/>
      <c r="F508" s="5"/>
      <c r="G508" s="5"/>
      <c r="H508" s="5"/>
      <c r="I508" s="5"/>
      <c r="J508" s="5"/>
      <c r="K508" s="5"/>
      <c r="L508" s="5"/>
      <c r="M508" s="5"/>
      <c r="N508" s="5"/>
      <c r="O508" s="5"/>
      <c r="P508" s="5"/>
      <c r="Q508" s="5"/>
      <c r="R508" s="5"/>
      <c r="S508" s="5"/>
      <c r="T508" s="5"/>
      <c r="U508" s="5"/>
      <c r="V508" s="5"/>
      <c r="W508" s="5"/>
    </row>
    <row r="509" spans="1:23" ht="16" x14ac:dyDescent="0.2">
      <c r="A509" s="5"/>
      <c r="B509" s="6"/>
      <c r="C509" s="6"/>
      <c r="D509" s="6"/>
      <c r="E509" s="6"/>
      <c r="F509" s="5"/>
      <c r="G509" s="5"/>
      <c r="H509" s="5"/>
      <c r="I509" s="5"/>
      <c r="J509" s="5"/>
      <c r="K509" s="5"/>
      <c r="L509" s="5"/>
      <c r="M509" s="5"/>
      <c r="N509" s="5"/>
      <c r="O509" s="5"/>
      <c r="P509" s="5"/>
      <c r="Q509" s="5"/>
      <c r="R509" s="5"/>
      <c r="S509" s="5"/>
      <c r="T509" s="5"/>
      <c r="U509" s="5"/>
      <c r="V509" s="5"/>
      <c r="W509" s="5"/>
    </row>
    <row r="510" spans="1:23" ht="16" x14ac:dyDescent="0.2">
      <c r="A510" s="5"/>
      <c r="B510" s="6"/>
      <c r="C510" s="6"/>
      <c r="D510" s="6"/>
      <c r="E510" s="6"/>
      <c r="F510" s="5"/>
      <c r="G510" s="5"/>
      <c r="H510" s="5"/>
      <c r="I510" s="5"/>
      <c r="J510" s="5"/>
      <c r="K510" s="5"/>
      <c r="L510" s="5"/>
      <c r="M510" s="5"/>
      <c r="N510" s="5"/>
      <c r="O510" s="5"/>
      <c r="P510" s="5"/>
      <c r="Q510" s="5"/>
      <c r="R510" s="5"/>
      <c r="S510" s="5"/>
      <c r="T510" s="5"/>
      <c r="U510" s="5"/>
      <c r="V510" s="5"/>
      <c r="W510" s="5"/>
    </row>
    <row r="511" spans="1:23" ht="16" x14ac:dyDescent="0.2">
      <c r="A511" s="5"/>
      <c r="B511" s="6"/>
      <c r="C511" s="6"/>
      <c r="D511" s="6"/>
      <c r="E511" s="6"/>
      <c r="F511" s="5"/>
      <c r="G511" s="5"/>
      <c r="H511" s="5"/>
      <c r="I511" s="5"/>
      <c r="J511" s="5"/>
      <c r="K511" s="5"/>
      <c r="L511" s="5"/>
      <c r="M511" s="5"/>
      <c r="N511" s="5"/>
      <c r="O511" s="5"/>
      <c r="P511" s="5"/>
      <c r="Q511" s="5"/>
      <c r="R511" s="5"/>
      <c r="S511" s="5"/>
      <c r="T511" s="5"/>
      <c r="U511" s="5"/>
      <c r="V511" s="5"/>
      <c r="W511" s="5"/>
    </row>
    <row r="512" spans="1:23" ht="16" x14ac:dyDescent="0.2">
      <c r="A512" s="5"/>
      <c r="B512" s="6"/>
      <c r="C512" s="6"/>
      <c r="D512" s="6"/>
      <c r="E512" s="6"/>
      <c r="F512" s="5"/>
      <c r="G512" s="5"/>
      <c r="H512" s="5"/>
      <c r="I512" s="5"/>
      <c r="J512" s="5"/>
      <c r="K512" s="5"/>
      <c r="L512" s="5"/>
      <c r="M512" s="5"/>
      <c r="N512" s="5"/>
      <c r="O512" s="5"/>
      <c r="P512" s="5"/>
      <c r="Q512" s="5"/>
      <c r="R512" s="5"/>
      <c r="S512" s="5"/>
      <c r="T512" s="5"/>
      <c r="U512" s="5"/>
      <c r="V512" s="5"/>
      <c r="W512" s="5"/>
    </row>
    <row r="513" spans="1:23" ht="16" x14ac:dyDescent="0.2">
      <c r="A513" s="5"/>
      <c r="B513" s="6"/>
      <c r="C513" s="6"/>
      <c r="D513" s="6"/>
      <c r="E513" s="6"/>
      <c r="F513" s="5"/>
      <c r="G513" s="5"/>
      <c r="H513" s="5"/>
      <c r="I513" s="5"/>
      <c r="J513" s="5"/>
      <c r="K513" s="5"/>
      <c r="L513" s="5"/>
      <c r="M513" s="5"/>
      <c r="N513" s="5"/>
      <c r="O513" s="5"/>
      <c r="P513" s="5"/>
      <c r="Q513" s="5"/>
      <c r="R513" s="5"/>
      <c r="S513" s="5"/>
      <c r="T513" s="5"/>
      <c r="U513" s="5"/>
      <c r="V513" s="5"/>
      <c r="W513" s="5"/>
    </row>
    <row r="514" spans="1:23" ht="16" x14ac:dyDescent="0.2">
      <c r="A514" s="5"/>
      <c r="B514" s="6"/>
      <c r="C514" s="6"/>
      <c r="D514" s="6"/>
      <c r="E514" s="6"/>
      <c r="F514" s="5"/>
      <c r="G514" s="5"/>
      <c r="H514" s="5"/>
      <c r="I514" s="5"/>
      <c r="J514" s="5"/>
      <c r="K514" s="5"/>
      <c r="L514" s="5"/>
      <c r="M514" s="5"/>
      <c r="N514" s="5"/>
      <c r="O514" s="5"/>
      <c r="P514" s="5"/>
      <c r="Q514" s="5"/>
      <c r="R514" s="5"/>
      <c r="S514" s="5"/>
      <c r="T514" s="5"/>
      <c r="U514" s="5"/>
      <c r="V514" s="5"/>
      <c r="W514" s="5"/>
    </row>
    <row r="515" spans="1:23" ht="16" x14ac:dyDescent="0.2">
      <c r="A515" s="5"/>
      <c r="B515" s="6"/>
      <c r="C515" s="6"/>
      <c r="D515" s="6"/>
      <c r="E515" s="6"/>
      <c r="F515" s="5"/>
      <c r="G515" s="5"/>
      <c r="H515" s="5"/>
      <c r="I515" s="5"/>
      <c r="J515" s="5"/>
      <c r="K515" s="5"/>
      <c r="L515" s="5"/>
      <c r="M515" s="5"/>
      <c r="N515" s="5"/>
      <c r="O515" s="5"/>
      <c r="P515" s="5"/>
      <c r="Q515" s="5"/>
      <c r="R515" s="5"/>
      <c r="S515" s="5"/>
      <c r="T515" s="5"/>
      <c r="U515" s="5"/>
      <c r="V515" s="5"/>
      <c r="W515" s="5"/>
    </row>
    <row r="516" spans="1:23" ht="16" x14ac:dyDescent="0.2">
      <c r="A516" s="5"/>
      <c r="B516" s="6"/>
      <c r="C516" s="6"/>
      <c r="D516" s="6"/>
      <c r="E516" s="6"/>
      <c r="F516" s="5"/>
      <c r="G516" s="5"/>
      <c r="H516" s="5"/>
      <c r="I516" s="5"/>
      <c r="J516" s="5"/>
      <c r="K516" s="5"/>
      <c r="L516" s="5"/>
      <c r="M516" s="5"/>
      <c r="N516" s="5"/>
      <c r="O516" s="5"/>
      <c r="P516" s="5"/>
      <c r="Q516" s="5"/>
      <c r="R516" s="5"/>
      <c r="S516" s="5"/>
      <c r="T516" s="5"/>
      <c r="U516" s="5"/>
      <c r="V516" s="5"/>
      <c r="W516" s="5"/>
    </row>
    <row r="517" spans="1:23" ht="16" x14ac:dyDescent="0.2">
      <c r="A517" s="5"/>
      <c r="B517" s="6"/>
      <c r="C517" s="6"/>
      <c r="D517" s="6"/>
      <c r="E517" s="6"/>
      <c r="F517" s="5"/>
      <c r="G517" s="5"/>
      <c r="H517" s="5"/>
      <c r="I517" s="5"/>
      <c r="J517" s="5"/>
      <c r="K517" s="5"/>
      <c r="L517" s="5"/>
      <c r="M517" s="5"/>
      <c r="N517" s="5"/>
      <c r="O517" s="5"/>
      <c r="P517" s="5"/>
      <c r="Q517" s="5"/>
      <c r="R517" s="5"/>
      <c r="S517" s="5"/>
      <c r="T517" s="5"/>
      <c r="U517" s="5"/>
      <c r="V517" s="5"/>
      <c r="W517" s="5"/>
    </row>
    <row r="518" spans="1:23" ht="16" x14ac:dyDescent="0.2">
      <c r="A518" s="5"/>
      <c r="B518" s="6"/>
      <c r="C518" s="6"/>
      <c r="D518" s="6"/>
      <c r="E518" s="6"/>
      <c r="F518" s="5"/>
      <c r="G518" s="5"/>
      <c r="H518" s="5"/>
      <c r="I518" s="5"/>
      <c r="J518" s="5"/>
      <c r="K518" s="5"/>
      <c r="L518" s="5"/>
      <c r="M518" s="5"/>
      <c r="N518" s="5"/>
      <c r="O518" s="5"/>
      <c r="P518" s="5"/>
      <c r="Q518" s="5"/>
      <c r="R518" s="5"/>
      <c r="S518" s="5"/>
      <c r="T518" s="5"/>
      <c r="U518" s="5"/>
      <c r="V518" s="5"/>
      <c r="W518" s="5"/>
    </row>
    <row r="519" spans="1:23" ht="16" x14ac:dyDescent="0.2">
      <c r="A519" s="5"/>
      <c r="B519" s="6"/>
      <c r="C519" s="6"/>
      <c r="D519" s="6"/>
      <c r="E519" s="6"/>
      <c r="F519" s="5"/>
      <c r="G519" s="5"/>
      <c r="H519" s="5"/>
      <c r="I519" s="5"/>
      <c r="J519" s="5"/>
      <c r="K519" s="5"/>
      <c r="L519" s="5"/>
      <c r="M519" s="5"/>
      <c r="N519" s="5"/>
      <c r="O519" s="5"/>
      <c r="P519" s="5"/>
      <c r="Q519" s="5"/>
      <c r="R519" s="5"/>
      <c r="S519" s="5"/>
      <c r="T519" s="5"/>
      <c r="U519" s="5"/>
      <c r="V519" s="5"/>
      <c r="W519" s="5"/>
    </row>
    <row r="520" spans="1:23" ht="16" x14ac:dyDescent="0.2">
      <c r="A520" s="5"/>
      <c r="B520" s="6"/>
      <c r="C520" s="6"/>
      <c r="D520" s="6"/>
      <c r="E520" s="6"/>
      <c r="F520" s="5"/>
      <c r="G520" s="5"/>
      <c r="H520" s="5"/>
      <c r="I520" s="5"/>
      <c r="J520" s="5"/>
      <c r="K520" s="5"/>
      <c r="L520" s="5"/>
      <c r="M520" s="5"/>
      <c r="N520" s="5"/>
      <c r="O520" s="5"/>
      <c r="P520" s="5"/>
      <c r="Q520" s="5"/>
      <c r="R520" s="5"/>
      <c r="S520" s="5"/>
      <c r="T520" s="5"/>
      <c r="U520" s="5"/>
      <c r="V520" s="5"/>
      <c r="W520" s="5"/>
    </row>
    <row r="521" spans="1:23" ht="16" x14ac:dyDescent="0.2">
      <c r="A521" s="5"/>
      <c r="B521" s="6"/>
      <c r="C521" s="6"/>
      <c r="D521" s="6"/>
      <c r="E521" s="6"/>
      <c r="F521" s="5"/>
      <c r="G521" s="5"/>
      <c r="H521" s="5"/>
      <c r="I521" s="5"/>
      <c r="J521" s="5"/>
      <c r="K521" s="5"/>
      <c r="L521" s="5"/>
      <c r="M521" s="5"/>
      <c r="N521" s="5"/>
      <c r="O521" s="5"/>
      <c r="P521" s="5"/>
      <c r="Q521" s="5"/>
      <c r="R521" s="5"/>
      <c r="S521" s="5"/>
      <c r="T521" s="5"/>
      <c r="U521" s="5"/>
      <c r="V521" s="5"/>
      <c r="W521" s="5"/>
    </row>
    <row r="522" spans="1:23" ht="16" x14ac:dyDescent="0.2">
      <c r="A522" s="5"/>
      <c r="B522" s="6"/>
      <c r="C522" s="6"/>
      <c r="D522" s="6"/>
      <c r="E522" s="6"/>
      <c r="F522" s="5"/>
      <c r="G522" s="5"/>
      <c r="H522" s="5"/>
      <c r="I522" s="5"/>
      <c r="J522" s="5"/>
      <c r="K522" s="5"/>
      <c r="L522" s="5"/>
      <c r="M522" s="5"/>
      <c r="N522" s="5"/>
      <c r="O522" s="5"/>
      <c r="P522" s="5"/>
      <c r="Q522" s="5"/>
      <c r="R522" s="5"/>
      <c r="S522" s="5"/>
      <c r="T522" s="5"/>
      <c r="U522" s="5"/>
      <c r="V522" s="5"/>
      <c r="W522" s="5"/>
    </row>
    <row r="523" spans="1:23" ht="16" x14ac:dyDescent="0.2">
      <c r="A523" s="5"/>
      <c r="B523" s="6"/>
      <c r="C523" s="6"/>
      <c r="D523" s="6"/>
      <c r="E523" s="6"/>
      <c r="F523" s="5"/>
      <c r="G523" s="5"/>
      <c r="H523" s="5"/>
      <c r="I523" s="5"/>
      <c r="J523" s="5"/>
      <c r="K523" s="5"/>
      <c r="L523" s="5"/>
      <c r="M523" s="5"/>
      <c r="N523" s="5"/>
      <c r="O523" s="5"/>
      <c r="P523" s="5"/>
      <c r="Q523" s="5"/>
      <c r="R523" s="5"/>
      <c r="S523" s="5"/>
      <c r="T523" s="5"/>
      <c r="U523" s="5"/>
      <c r="V523" s="5"/>
      <c r="W523" s="5"/>
    </row>
    <row r="524" spans="1:23" ht="16" x14ac:dyDescent="0.2">
      <c r="A524" s="5"/>
      <c r="B524" s="6"/>
      <c r="C524" s="6"/>
      <c r="D524" s="6"/>
      <c r="E524" s="6"/>
      <c r="F524" s="5"/>
      <c r="G524" s="5"/>
      <c r="H524" s="5"/>
      <c r="I524" s="5"/>
      <c r="J524" s="5"/>
      <c r="K524" s="5"/>
      <c r="L524" s="5"/>
      <c r="M524" s="5"/>
      <c r="N524" s="5"/>
      <c r="O524" s="5"/>
      <c r="P524" s="5"/>
      <c r="Q524" s="5"/>
      <c r="R524" s="5"/>
      <c r="S524" s="5"/>
      <c r="T524" s="5"/>
      <c r="U524" s="5"/>
      <c r="V524" s="5"/>
      <c r="W524" s="5"/>
    </row>
    <row r="525" spans="1:23" ht="16" x14ac:dyDescent="0.2">
      <c r="A525" s="5"/>
      <c r="B525" s="6"/>
      <c r="C525" s="6"/>
      <c r="D525" s="6"/>
      <c r="E525" s="6"/>
      <c r="F525" s="5"/>
      <c r="G525" s="5"/>
      <c r="H525" s="5"/>
      <c r="I525" s="5"/>
      <c r="J525" s="5"/>
      <c r="K525" s="5"/>
      <c r="L525" s="5"/>
      <c r="M525" s="5"/>
      <c r="N525" s="5"/>
      <c r="O525" s="5"/>
      <c r="P525" s="5"/>
      <c r="Q525" s="5"/>
      <c r="R525" s="5"/>
      <c r="S525" s="5"/>
      <c r="T525" s="5"/>
      <c r="U525" s="5"/>
      <c r="V525" s="5"/>
      <c r="W525" s="5"/>
    </row>
    <row r="526" spans="1:23" ht="16" x14ac:dyDescent="0.2">
      <c r="A526" s="5"/>
      <c r="B526" s="6"/>
      <c r="C526" s="6"/>
      <c r="D526" s="6"/>
      <c r="E526" s="6"/>
      <c r="F526" s="5"/>
      <c r="G526" s="5"/>
      <c r="H526" s="5"/>
      <c r="I526" s="5"/>
      <c r="J526" s="5"/>
      <c r="K526" s="5"/>
      <c r="L526" s="5"/>
      <c r="M526" s="5"/>
      <c r="N526" s="5"/>
      <c r="O526" s="5"/>
      <c r="P526" s="5"/>
      <c r="Q526" s="5"/>
      <c r="R526" s="5"/>
      <c r="S526" s="5"/>
      <c r="T526" s="5"/>
      <c r="U526" s="5"/>
      <c r="V526" s="5"/>
      <c r="W526" s="5"/>
    </row>
    <row r="527" spans="1:23" ht="16" x14ac:dyDescent="0.2">
      <c r="A527" s="5"/>
      <c r="B527" s="6"/>
      <c r="C527" s="6"/>
      <c r="D527" s="6"/>
      <c r="E527" s="6"/>
      <c r="F527" s="5"/>
      <c r="G527" s="5"/>
      <c r="H527" s="5"/>
      <c r="I527" s="5"/>
      <c r="J527" s="5"/>
      <c r="K527" s="5"/>
      <c r="L527" s="5"/>
      <c r="M527" s="5"/>
      <c r="N527" s="5"/>
      <c r="O527" s="5"/>
      <c r="P527" s="5"/>
      <c r="Q527" s="5"/>
      <c r="R527" s="5"/>
      <c r="S527" s="5"/>
      <c r="T527" s="5"/>
      <c r="U527" s="5"/>
      <c r="V527" s="5"/>
      <c r="W527" s="5"/>
    </row>
    <row r="528" spans="1:23" ht="16" x14ac:dyDescent="0.2">
      <c r="A528" s="5"/>
      <c r="B528" s="6"/>
      <c r="C528" s="6"/>
      <c r="D528" s="6"/>
      <c r="E528" s="6"/>
      <c r="F528" s="5"/>
      <c r="G528" s="5"/>
      <c r="H528" s="5"/>
      <c r="I528" s="5"/>
      <c r="J528" s="5"/>
      <c r="K528" s="5"/>
      <c r="L528" s="5"/>
      <c r="M528" s="5"/>
      <c r="N528" s="5"/>
      <c r="O528" s="5"/>
      <c r="P528" s="5"/>
      <c r="Q528" s="5"/>
      <c r="R528" s="5"/>
      <c r="S528" s="5"/>
      <c r="T528" s="5"/>
      <c r="U528" s="5"/>
      <c r="V528" s="5"/>
      <c r="W528" s="5"/>
    </row>
    <row r="529" spans="1:23" ht="16" x14ac:dyDescent="0.2">
      <c r="A529" s="5"/>
      <c r="B529" s="6"/>
      <c r="C529" s="6"/>
      <c r="D529" s="6"/>
      <c r="E529" s="6"/>
      <c r="F529" s="5"/>
      <c r="G529" s="5"/>
      <c r="H529" s="5"/>
      <c r="I529" s="5"/>
      <c r="J529" s="5"/>
      <c r="K529" s="5"/>
      <c r="L529" s="5"/>
      <c r="M529" s="5"/>
      <c r="N529" s="5"/>
      <c r="O529" s="5"/>
      <c r="P529" s="5"/>
      <c r="Q529" s="5"/>
      <c r="R529" s="5"/>
      <c r="S529" s="5"/>
      <c r="T529" s="5"/>
      <c r="U529" s="5"/>
      <c r="V529" s="5"/>
      <c r="W529" s="5"/>
    </row>
    <row r="530" spans="1:23" ht="16" x14ac:dyDescent="0.2">
      <c r="A530" s="5"/>
      <c r="B530" s="6"/>
      <c r="C530" s="6"/>
      <c r="D530" s="6"/>
      <c r="E530" s="6"/>
      <c r="F530" s="5"/>
      <c r="G530" s="5"/>
      <c r="H530" s="5"/>
      <c r="I530" s="5"/>
      <c r="J530" s="5"/>
      <c r="K530" s="5"/>
      <c r="L530" s="5"/>
      <c r="M530" s="5"/>
      <c r="N530" s="5"/>
      <c r="O530" s="5"/>
      <c r="P530" s="5"/>
      <c r="Q530" s="5"/>
      <c r="R530" s="5"/>
      <c r="S530" s="5"/>
      <c r="T530" s="5"/>
      <c r="U530" s="5"/>
      <c r="V530" s="5"/>
      <c r="W530" s="5"/>
    </row>
    <row r="531" spans="1:23" ht="16" x14ac:dyDescent="0.2">
      <c r="A531" s="5"/>
      <c r="B531" s="6"/>
      <c r="C531" s="6"/>
      <c r="D531" s="6"/>
      <c r="E531" s="6"/>
      <c r="F531" s="5"/>
      <c r="G531" s="5"/>
      <c r="H531" s="5"/>
      <c r="I531" s="5"/>
      <c r="J531" s="5"/>
      <c r="K531" s="5"/>
      <c r="L531" s="5"/>
      <c r="M531" s="5"/>
      <c r="N531" s="5"/>
      <c r="O531" s="5"/>
      <c r="P531" s="5"/>
      <c r="Q531" s="5"/>
      <c r="R531" s="5"/>
      <c r="S531" s="5"/>
      <c r="T531" s="5"/>
      <c r="U531" s="5"/>
      <c r="V531" s="5"/>
      <c r="W531" s="5"/>
    </row>
    <row r="532" spans="1:23" ht="16" x14ac:dyDescent="0.2">
      <c r="A532" s="5"/>
      <c r="B532" s="6"/>
      <c r="C532" s="6"/>
      <c r="D532" s="6"/>
      <c r="E532" s="6"/>
      <c r="F532" s="5"/>
      <c r="G532" s="5"/>
      <c r="H532" s="5"/>
      <c r="I532" s="5"/>
      <c r="J532" s="5"/>
      <c r="K532" s="5"/>
      <c r="L532" s="5"/>
      <c r="M532" s="5"/>
      <c r="N532" s="5"/>
      <c r="O532" s="5"/>
      <c r="P532" s="5"/>
      <c r="Q532" s="5"/>
      <c r="R532" s="5"/>
      <c r="S532" s="5"/>
      <c r="T532" s="5"/>
      <c r="U532" s="5"/>
      <c r="V532" s="5"/>
      <c r="W532" s="5"/>
    </row>
    <row r="533" spans="1:23" ht="16" x14ac:dyDescent="0.2">
      <c r="A533" s="5"/>
      <c r="B533" s="6"/>
      <c r="C533" s="6"/>
      <c r="D533" s="6"/>
      <c r="E533" s="6"/>
      <c r="F533" s="5"/>
      <c r="G533" s="5"/>
      <c r="H533" s="5"/>
      <c r="I533" s="5"/>
      <c r="J533" s="5"/>
      <c r="K533" s="5"/>
      <c r="L533" s="5"/>
      <c r="M533" s="5"/>
      <c r="N533" s="5"/>
      <c r="O533" s="5"/>
      <c r="P533" s="5"/>
      <c r="Q533" s="5"/>
      <c r="R533" s="5"/>
      <c r="S533" s="5"/>
      <c r="T533" s="5"/>
      <c r="U533" s="5"/>
      <c r="V533" s="5"/>
      <c r="W533" s="5"/>
    </row>
    <row r="534" spans="1:23" ht="16" x14ac:dyDescent="0.2">
      <c r="A534" s="5"/>
      <c r="B534" s="6"/>
      <c r="C534" s="6"/>
      <c r="D534" s="6"/>
      <c r="E534" s="6"/>
      <c r="F534" s="5"/>
      <c r="G534" s="5"/>
      <c r="H534" s="5"/>
      <c r="I534" s="5"/>
      <c r="J534" s="5"/>
      <c r="K534" s="5"/>
      <c r="L534" s="5"/>
      <c r="M534" s="5"/>
      <c r="N534" s="5"/>
      <c r="O534" s="5"/>
      <c r="P534" s="5"/>
      <c r="Q534" s="5"/>
      <c r="R534" s="5"/>
      <c r="S534" s="5"/>
      <c r="T534" s="5"/>
      <c r="U534" s="5"/>
      <c r="V534" s="5"/>
      <c r="W534" s="5"/>
    </row>
    <row r="535" spans="1:23" ht="16" x14ac:dyDescent="0.2">
      <c r="A535" s="5"/>
      <c r="B535" s="6"/>
      <c r="C535" s="6"/>
      <c r="D535" s="6"/>
      <c r="E535" s="6"/>
      <c r="F535" s="5"/>
      <c r="G535" s="5"/>
      <c r="H535" s="5"/>
      <c r="I535" s="5"/>
      <c r="J535" s="5"/>
      <c r="K535" s="5"/>
      <c r="L535" s="5"/>
      <c r="M535" s="5"/>
      <c r="N535" s="5"/>
      <c r="O535" s="5"/>
      <c r="P535" s="5"/>
      <c r="Q535" s="5"/>
      <c r="R535" s="5"/>
      <c r="S535" s="5"/>
      <c r="T535" s="5"/>
      <c r="U535" s="5"/>
      <c r="V535" s="5"/>
      <c r="W535" s="5"/>
    </row>
    <row r="536" spans="1:23" ht="16" x14ac:dyDescent="0.2">
      <c r="A536" s="5"/>
      <c r="B536" s="6"/>
      <c r="C536" s="6"/>
      <c r="D536" s="6"/>
      <c r="E536" s="6"/>
      <c r="F536" s="5"/>
      <c r="G536" s="5"/>
      <c r="H536" s="5"/>
      <c r="I536" s="5"/>
      <c r="J536" s="5"/>
      <c r="K536" s="5"/>
      <c r="L536" s="5"/>
      <c r="M536" s="5"/>
      <c r="N536" s="5"/>
      <c r="O536" s="5"/>
      <c r="P536" s="5"/>
      <c r="Q536" s="5"/>
      <c r="R536" s="5"/>
      <c r="S536" s="5"/>
      <c r="T536" s="5"/>
      <c r="U536" s="5"/>
      <c r="V536" s="5"/>
      <c r="W536" s="5"/>
    </row>
    <row r="537" spans="1:23" ht="16" x14ac:dyDescent="0.2">
      <c r="A537" s="5"/>
      <c r="B537" s="6"/>
      <c r="C537" s="6"/>
      <c r="D537" s="6"/>
      <c r="E537" s="6"/>
      <c r="F537" s="5"/>
      <c r="G537" s="5"/>
      <c r="H537" s="5"/>
      <c r="I537" s="5"/>
      <c r="J537" s="5"/>
      <c r="K537" s="5"/>
      <c r="L537" s="5"/>
      <c r="M537" s="5"/>
      <c r="N537" s="5"/>
      <c r="O537" s="5"/>
      <c r="P537" s="5"/>
      <c r="Q537" s="5"/>
      <c r="R537" s="5"/>
      <c r="S537" s="5"/>
      <c r="T537" s="5"/>
      <c r="U537" s="5"/>
      <c r="V537" s="5"/>
      <c r="W537" s="5"/>
    </row>
    <row r="538" spans="1:23" ht="16" x14ac:dyDescent="0.2">
      <c r="A538" s="5"/>
      <c r="B538" s="6"/>
      <c r="C538" s="6"/>
      <c r="D538" s="6"/>
      <c r="E538" s="6"/>
      <c r="F538" s="5"/>
      <c r="G538" s="5"/>
      <c r="H538" s="5"/>
      <c r="I538" s="5"/>
      <c r="J538" s="5"/>
      <c r="K538" s="5"/>
      <c r="L538" s="5"/>
      <c r="M538" s="5"/>
      <c r="N538" s="5"/>
      <c r="O538" s="5"/>
      <c r="P538" s="5"/>
      <c r="Q538" s="5"/>
      <c r="R538" s="5"/>
      <c r="S538" s="5"/>
      <c r="T538" s="5"/>
      <c r="U538" s="5"/>
      <c r="V538" s="5"/>
      <c r="W538" s="5"/>
    </row>
    <row r="539" spans="1:23" ht="16" x14ac:dyDescent="0.2">
      <c r="A539" s="5"/>
      <c r="B539" s="6"/>
      <c r="C539" s="6"/>
      <c r="D539" s="6"/>
      <c r="E539" s="6"/>
      <c r="F539" s="5"/>
      <c r="G539" s="5"/>
      <c r="H539" s="5"/>
      <c r="I539" s="5"/>
      <c r="J539" s="5"/>
      <c r="K539" s="5"/>
      <c r="L539" s="5"/>
      <c r="M539" s="5"/>
      <c r="N539" s="5"/>
      <c r="O539" s="5"/>
      <c r="P539" s="5"/>
      <c r="Q539" s="5"/>
      <c r="R539" s="5"/>
      <c r="S539" s="5"/>
      <c r="T539" s="5"/>
      <c r="U539" s="5"/>
      <c r="V539" s="5"/>
      <c r="W539" s="5"/>
    </row>
    <row r="540" spans="1:23" ht="16" x14ac:dyDescent="0.2">
      <c r="A540" s="5"/>
      <c r="B540" s="6"/>
      <c r="C540" s="6"/>
      <c r="D540" s="6"/>
      <c r="E540" s="6"/>
      <c r="F540" s="5"/>
      <c r="G540" s="5"/>
      <c r="H540" s="5"/>
      <c r="I540" s="5"/>
      <c r="J540" s="5"/>
      <c r="K540" s="5"/>
      <c r="L540" s="5"/>
      <c r="M540" s="5"/>
      <c r="N540" s="5"/>
      <c r="O540" s="5"/>
      <c r="P540" s="5"/>
      <c r="Q540" s="5"/>
      <c r="R540" s="5"/>
      <c r="S540" s="5"/>
      <c r="T540" s="5"/>
      <c r="U540" s="5"/>
      <c r="V540" s="5"/>
      <c r="W540" s="5"/>
    </row>
    <row r="541" spans="1:23" ht="16" x14ac:dyDescent="0.2">
      <c r="A541" s="5"/>
      <c r="B541" s="6"/>
      <c r="C541" s="6"/>
      <c r="D541" s="6"/>
      <c r="E541" s="6"/>
      <c r="F541" s="5"/>
      <c r="G541" s="5"/>
      <c r="H541" s="5"/>
      <c r="I541" s="5"/>
      <c r="J541" s="5"/>
      <c r="K541" s="5"/>
      <c r="L541" s="5"/>
      <c r="M541" s="5"/>
      <c r="N541" s="5"/>
      <c r="O541" s="5"/>
      <c r="P541" s="5"/>
      <c r="Q541" s="5"/>
      <c r="R541" s="5"/>
      <c r="S541" s="5"/>
      <c r="T541" s="5"/>
      <c r="U541" s="5"/>
      <c r="V541" s="5"/>
      <c r="W541" s="5"/>
    </row>
    <row r="542" spans="1:23" ht="16" x14ac:dyDescent="0.2">
      <c r="A542" s="5"/>
      <c r="B542" s="6"/>
      <c r="C542" s="6"/>
      <c r="D542" s="6"/>
      <c r="E542" s="6"/>
      <c r="F542" s="5"/>
      <c r="G542" s="5"/>
      <c r="H542" s="5"/>
      <c r="I542" s="5"/>
      <c r="J542" s="5"/>
      <c r="K542" s="5"/>
      <c r="L542" s="5"/>
      <c r="M542" s="5"/>
      <c r="N542" s="5"/>
      <c r="O542" s="5"/>
      <c r="P542" s="5"/>
      <c r="Q542" s="5"/>
      <c r="R542" s="5"/>
      <c r="S542" s="5"/>
      <c r="T542" s="5"/>
      <c r="U542" s="5"/>
      <c r="V542" s="5"/>
      <c r="W542" s="5"/>
    </row>
    <row r="543" spans="1:23" ht="16" x14ac:dyDescent="0.2">
      <c r="A543" s="5"/>
      <c r="B543" s="6"/>
      <c r="C543" s="6"/>
      <c r="D543" s="6"/>
      <c r="E543" s="6"/>
      <c r="F543" s="5"/>
      <c r="G543" s="5"/>
      <c r="H543" s="5"/>
      <c r="I543" s="5"/>
      <c r="J543" s="5"/>
      <c r="K543" s="5"/>
      <c r="L543" s="5"/>
      <c r="M543" s="5"/>
      <c r="N543" s="5"/>
      <c r="O543" s="5"/>
      <c r="P543" s="5"/>
      <c r="Q543" s="5"/>
      <c r="R543" s="5"/>
      <c r="S543" s="5"/>
      <c r="T543" s="5"/>
      <c r="U543" s="5"/>
      <c r="V543" s="5"/>
      <c r="W543" s="5"/>
    </row>
    <row r="544" spans="1:23" ht="16" x14ac:dyDescent="0.2">
      <c r="A544" s="5"/>
      <c r="B544" s="6"/>
      <c r="C544" s="6"/>
      <c r="D544" s="6"/>
      <c r="E544" s="6"/>
      <c r="F544" s="5"/>
      <c r="G544" s="5"/>
      <c r="H544" s="5"/>
      <c r="I544" s="5"/>
      <c r="J544" s="5"/>
      <c r="K544" s="5"/>
      <c r="L544" s="5"/>
      <c r="M544" s="5"/>
      <c r="N544" s="5"/>
      <c r="O544" s="5"/>
      <c r="P544" s="5"/>
      <c r="Q544" s="5"/>
      <c r="R544" s="5"/>
      <c r="S544" s="5"/>
      <c r="T544" s="5"/>
      <c r="U544" s="5"/>
      <c r="V544" s="5"/>
      <c r="W544" s="5"/>
    </row>
    <row r="545" spans="1:23" ht="16" x14ac:dyDescent="0.2">
      <c r="A545" s="5"/>
      <c r="B545" s="6"/>
      <c r="C545" s="6"/>
      <c r="D545" s="6"/>
      <c r="E545" s="6"/>
      <c r="F545" s="5"/>
      <c r="G545" s="5"/>
      <c r="H545" s="5"/>
      <c r="I545" s="5"/>
      <c r="J545" s="5"/>
      <c r="K545" s="5"/>
      <c r="L545" s="5"/>
      <c r="M545" s="5"/>
      <c r="N545" s="5"/>
      <c r="O545" s="5"/>
      <c r="P545" s="5"/>
      <c r="Q545" s="5"/>
      <c r="R545" s="5"/>
      <c r="S545" s="5"/>
      <c r="T545" s="5"/>
      <c r="U545" s="5"/>
      <c r="V545" s="5"/>
      <c r="W545" s="5"/>
    </row>
    <row r="546" spans="1:23" ht="16" x14ac:dyDescent="0.2">
      <c r="A546" s="5"/>
      <c r="B546" s="6"/>
      <c r="C546" s="6"/>
      <c r="D546" s="6"/>
      <c r="E546" s="6"/>
      <c r="F546" s="5"/>
      <c r="G546" s="5"/>
      <c r="H546" s="5"/>
      <c r="I546" s="5"/>
      <c r="J546" s="5"/>
      <c r="K546" s="5"/>
      <c r="L546" s="5"/>
      <c r="M546" s="5"/>
      <c r="N546" s="5"/>
      <c r="O546" s="5"/>
      <c r="P546" s="5"/>
      <c r="Q546" s="5"/>
      <c r="R546" s="5"/>
      <c r="S546" s="5"/>
      <c r="T546" s="5"/>
      <c r="U546" s="5"/>
      <c r="V546" s="5"/>
      <c r="W546" s="5"/>
    </row>
    <row r="547" spans="1:23" ht="16" x14ac:dyDescent="0.2">
      <c r="A547" s="5"/>
      <c r="B547" s="6"/>
      <c r="C547" s="6"/>
      <c r="D547" s="6"/>
      <c r="E547" s="6"/>
      <c r="F547" s="5"/>
      <c r="G547" s="5"/>
      <c r="H547" s="5"/>
      <c r="I547" s="5"/>
      <c r="J547" s="5"/>
      <c r="K547" s="5"/>
      <c r="L547" s="5"/>
      <c r="M547" s="5"/>
      <c r="N547" s="5"/>
      <c r="O547" s="5"/>
      <c r="P547" s="5"/>
      <c r="Q547" s="5"/>
      <c r="R547" s="5"/>
      <c r="S547" s="5"/>
      <c r="T547" s="5"/>
      <c r="U547" s="5"/>
      <c r="V547" s="5"/>
      <c r="W547" s="5"/>
    </row>
    <row r="548" spans="1:23" ht="16" x14ac:dyDescent="0.2">
      <c r="A548" s="5"/>
      <c r="B548" s="6"/>
      <c r="C548" s="6"/>
      <c r="D548" s="6"/>
      <c r="E548" s="6"/>
      <c r="F548" s="5"/>
      <c r="G548" s="5"/>
      <c r="H548" s="5"/>
      <c r="I548" s="5"/>
      <c r="J548" s="5"/>
      <c r="K548" s="5"/>
      <c r="L548" s="5"/>
      <c r="M548" s="5"/>
      <c r="N548" s="5"/>
      <c r="O548" s="5"/>
      <c r="P548" s="5"/>
      <c r="Q548" s="5"/>
      <c r="R548" s="5"/>
      <c r="S548" s="5"/>
      <c r="T548" s="5"/>
      <c r="U548" s="5"/>
      <c r="V548" s="5"/>
      <c r="W548" s="5"/>
    </row>
    <row r="549" spans="1:23" ht="16" x14ac:dyDescent="0.2">
      <c r="A549" s="5"/>
      <c r="B549" s="6"/>
      <c r="C549" s="6"/>
      <c r="D549" s="6"/>
      <c r="E549" s="6"/>
      <c r="F549" s="5"/>
      <c r="G549" s="5"/>
      <c r="H549" s="5"/>
      <c r="I549" s="5"/>
      <c r="J549" s="5"/>
      <c r="K549" s="5"/>
      <c r="L549" s="5"/>
      <c r="M549" s="5"/>
      <c r="N549" s="5"/>
      <c r="O549" s="5"/>
      <c r="P549" s="5"/>
      <c r="Q549" s="5"/>
      <c r="R549" s="5"/>
      <c r="S549" s="5"/>
      <c r="T549" s="5"/>
      <c r="U549" s="5"/>
      <c r="V549" s="5"/>
      <c r="W549" s="5"/>
    </row>
    <row r="550" spans="1:23" ht="16" x14ac:dyDescent="0.2">
      <c r="A550" s="5"/>
      <c r="B550" s="6"/>
      <c r="C550" s="6"/>
      <c r="D550" s="6"/>
      <c r="E550" s="6"/>
      <c r="F550" s="5"/>
      <c r="G550" s="5"/>
      <c r="H550" s="5"/>
      <c r="I550" s="5"/>
      <c r="J550" s="5"/>
      <c r="K550" s="5"/>
      <c r="L550" s="5"/>
      <c r="M550" s="5"/>
      <c r="N550" s="5"/>
      <c r="O550" s="5"/>
      <c r="P550" s="5"/>
      <c r="Q550" s="5"/>
      <c r="R550" s="5"/>
      <c r="S550" s="5"/>
      <c r="T550" s="5"/>
      <c r="U550" s="5"/>
      <c r="V550" s="5"/>
      <c r="W550" s="5"/>
    </row>
    <row r="551" spans="1:23" ht="16" x14ac:dyDescent="0.2">
      <c r="A551" s="5"/>
      <c r="B551" s="6"/>
      <c r="C551" s="6"/>
      <c r="D551" s="6"/>
      <c r="E551" s="6"/>
      <c r="F551" s="5"/>
      <c r="G551" s="5"/>
      <c r="H551" s="5"/>
      <c r="I551" s="5"/>
      <c r="J551" s="5"/>
      <c r="K551" s="5"/>
      <c r="L551" s="5"/>
      <c r="M551" s="5"/>
      <c r="N551" s="5"/>
      <c r="O551" s="5"/>
      <c r="P551" s="5"/>
      <c r="Q551" s="5"/>
      <c r="R551" s="5"/>
      <c r="S551" s="5"/>
      <c r="T551" s="5"/>
      <c r="U551" s="5"/>
      <c r="V551" s="5"/>
      <c r="W551" s="5"/>
    </row>
    <row r="552" spans="1:23" ht="16" x14ac:dyDescent="0.2">
      <c r="A552" s="5"/>
      <c r="B552" s="6"/>
      <c r="C552" s="6"/>
      <c r="D552" s="6"/>
      <c r="E552" s="6"/>
      <c r="F552" s="5"/>
      <c r="G552" s="5"/>
      <c r="H552" s="5"/>
      <c r="I552" s="5"/>
      <c r="J552" s="5"/>
      <c r="K552" s="5"/>
      <c r="L552" s="5"/>
      <c r="M552" s="5"/>
      <c r="N552" s="5"/>
      <c r="O552" s="5"/>
      <c r="P552" s="5"/>
      <c r="Q552" s="5"/>
      <c r="R552" s="5"/>
      <c r="S552" s="5"/>
      <c r="T552" s="5"/>
      <c r="U552" s="5"/>
      <c r="V552" s="5"/>
      <c r="W552" s="5"/>
    </row>
    <row r="553" spans="1:23" ht="16" x14ac:dyDescent="0.2">
      <c r="A553" s="5"/>
      <c r="B553" s="6"/>
      <c r="C553" s="6"/>
      <c r="D553" s="6"/>
      <c r="E553" s="6"/>
      <c r="F553" s="5"/>
      <c r="G553" s="5"/>
      <c r="H553" s="5"/>
      <c r="I553" s="5"/>
      <c r="J553" s="5"/>
      <c r="K553" s="5"/>
      <c r="L553" s="5"/>
      <c r="M553" s="5"/>
      <c r="N553" s="5"/>
      <c r="O553" s="5"/>
      <c r="P553" s="5"/>
      <c r="Q553" s="5"/>
      <c r="R553" s="5"/>
      <c r="S553" s="5"/>
      <c r="T553" s="5"/>
      <c r="U553" s="5"/>
      <c r="V553" s="5"/>
      <c r="W553" s="5"/>
    </row>
    <row r="554" spans="1:23" ht="16" x14ac:dyDescent="0.2">
      <c r="A554" s="5"/>
      <c r="B554" s="6"/>
      <c r="C554" s="6"/>
      <c r="D554" s="6"/>
      <c r="E554" s="6"/>
      <c r="F554" s="5"/>
      <c r="G554" s="5"/>
      <c r="H554" s="5"/>
      <c r="I554" s="5"/>
      <c r="J554" s="5"/>
      <c r="K554" s="5"/>
      <c r="L554" s="5"/>
      <c r="M554" s="5"/>
      <c r="N554" s="5"/>
      <c r="O554" s="5"/>
      <c r="P554" s="5"/>
      <c r="Q554" s="5"/>
      <c r="R554" s="5"/>
      <c r="S554" s="5"/>
      <c r="T554" s="5"/>
      <c r="U554" s="5"/>
      <c r="V554" s="5"/>
      <c r="W554" s="5"/>
    </row>
    <row r="555" spans="1:23" ht="16" x14ac:dyDescent="0.2">
      <c r="A555" s="5"/>
      <c r="B555" s="6"/>
      <c r="C555" s="6"/>
      <c r="D555" s="6"/>
      <c r="E555" s="6"/>
      <c r="F555" s="5"/>
      <c r="G555" s="5"/>
      <c r="H555" s="5"/>
      <c r="I555" s="5"/>
      <c r="J555" s="5"/>
      <c r="K555" s="5"/>
      <c r="L555" s="5"/>
      <c r="M555" s="5"/>
      <c r="N555" s="5"/>
      <c r="O555" s="5"/>
      <c r="P555" s="5"/>
      <c r="Q555" s="5"/>
      <c r="R555" s="5"/>
      <c r="S555" s="5"/>
      <c r="T555" s="5"/>
      <c r="U555" s="5"/>
      <c r="V555" s="5"/>
      <c r="W555" s="5"/>
    </row>
    <row r="556" spans="1:23" ht="16" x14ac:dyDescent="0.2">
      <c r="A556" s="5"/>
      <c r="B556" s="6"/>
      <c r="C556" s="6"/>
      <c r="D556" s="6"/>
      <c r="E556" s="6"/>
      <c r="F556" s="5"/>
      <c r="G556" s="5"/>
      <c r="H556" s="5"/>
      <c r="I556" s="5"/>
      <c r="J556" s="5"/>
      <c r="K556" s="5"/>
      <c r="L556" s="5"/>
      <c r="M556" s="5"/>
      <c r="N556" s="5"/>
      <c r="O556" s="5"/>
      <c r="P556" s="5"/>
      <c r="Q556" s="5"/>
      <c r="R556" s="5"/>
      <c r="S556" s="5"/>
      <c r="T556" s="5"/>
      <c r="U556" s="5"/>
      <c r="V556" s="5"/>
      <c r="W556" s="5"/>
    </row>
    <row r="557" spans="1:23" ht="16" x14ac:dyDescent="0.2">
      <c r="A557" s="5"/>
      <c r="B557" s="6"/>
      <c r="C557" s="6"/>
      <c r="D557" s="6"/>
      <c r="E557" s="6"/>
      <c r="F557" s="5"/>
      <c r="G557" s="5"/>
      <c r="H557" s="5"/>
      <c r="I557" s="5"/>
      <c r="J557" s="5"/>
      <c r="K557" s="5"/>
      <c r="L557" s="5"/>
      <c r="M557" s="5"/>
      <c r="N557" s="5"/>
      <c r="O557" s="5"/>
      <c r="P557" s="5"/>
      <c r="Q557" s="5"/>
      <c r="R557" s="5"/>
      <c r="S557" s="5"/>
      <c r="T557" s="5"/>
      <c r="U557" s="5"/>
      <c r="V557" s="5"/>
      <c r="W557" s="5"/>
    </row>
    <row r="558" spans="1:23" ht="16" x14ac:dyDescent="0.2">
      <c r="A558" s="5"/>
      <c r="B558" s="6"/>
      <c r="C558" s="6"/>
      <c r="D558" s="6"/>
      <c r="E558" s="6"/>
      <c r="F558" s="5"/>
      <c r="G558" s="5"/>
      <c r="H558" s="5"/>
      <c r="I558" s="5"/>
      <c r="J558" s="5"/>
      <c r="K558" s="5"/>
      <c r="L558" s="5"/>
      <c r="M558" s="5"/>
      <c r="N558" s="5"/>
      <c r="O558" s="5"/>
      <c r="P558" s="5"/>
      <c r="Q558" s="5"/>
      <c r="R558" s="5"/>
      <c r="S558" s="5"/>
      <c r="T558" s="5"/>
      <c r="U558" s="5"/>
      <c r="V558" s="5"/>
      <c r="W558" s="5"/>
    </row>
    <row r="559" spans="1:23" ht="16" x14ac:dyDescent="0.2">
      <c r="A559" s="5"/>
      <c r="B559" s="6"/>
      <c r="C559" s="6"/>
      <c r="D559" s="6"/>
      <c r="E559" s="6"/>
      <c r="F559" s="5"/>
      <c r="G559" s="5"/>
      <c r="H559" s="5"/>
      <c r="I559" s="5"/>
      <c r="J559" s="5"/>
      <c r="K559" s="5"/>
      <c r="L559" s="5"/>
      <c r="M559" s="5"/>
      <c r="N559" s="5"/>
      <c r="O559" s="5"/>
      <c r="P559" s="5"/>
      <c r="Q559" s="5"/>
      <c r="R559" s="5"/>
      <c r="S559" s="5"/>
      <c r="T559" s="5"/>
      <c r="U559" s="5"/>
      <c r="V559" s="5"/>
      <c r="W559" s="5"/>
    </row>
    <row r="560" spans="1:23" ht="16" x14ac:dyDescent="0.2">
      <c r="A560" s="5"/>
      <c r="B560" s="6"/>
      <c r="C560" s="6"/>
      <c r="D560" s="6"/>
      <c r="E560" s="6"/>
      <c r="F560" s="5"/>
      <c r="G560" s="5"/>
      <c r="H560" s="5"/>
      <c r="I560" s="5"/>
      <c r="J560" s="5"/>
      <c r="K560" s="5"/>
      <c r="L560" s="5"/>
      <c r="M560" s="5"/>
      <c r="N560" s="5"/>
      <c r="O560" s="5"/>
      <c r="P560" s="5"/>
      <c r="Q560" s="5"/>
      <c r="R560" s="5"/>
      <c r="S560" s="5"/>
      <c r="T560" s="5"/>
      <c r="U560" s="5"/>
      <c r="V560" s="5"/>
      <c r="W560" s="5"/>
    </row>
    <row r="561" spans="1:23" ht="16" x14ac:dyDescent="0.2">
      <c r="A561" s="5"/>
      <c r="B561" s="6"/>
      <c r="C561" s="6"/>
      <c r="D561" s="6"/>
      <c r="E561" s="6"/>
      <c r="F561" s="5"/>
      <c r="G561" s="5"/>
      <c r="H561" s="5"/>
      <c r="I561" s="5"/>
      <c r="J561" s="5"/>
      <c r="K561" s="5"/>
      <c r="L561" s="5"/>
      <c r="M561" s="5"/>
      <c r="N561" s="5"/>
      <c r="O561" s="5"/>
      <c r="P561" s="5"/>
      <c r="Q561" s="5"/>
      <c r="R561" s="5"/>
      <c r="S561" s="5"/>
      <c r="T561" s="5"/>
      <c r="U561" s="5"/>
      <c r="V561" s="5"/>
      <c r="W561" s="5"/>
    </row>
    <row r="562" spans="1:23" ht="16" x14ac:dyDescent="0.2">
      <c r="A562" s="5"/>
      <c r="B562" s="6"/>
      <c r="C562" s="6"/>
      <c r="D562" s="6"/>
      <c r="E562" s="6"/>
      <c r="F562" s="5"/>
      <c r="G562" s="5"/>
      <c r="H562" s="5"/>
      <c r="I562" s="5"/>
      <c r="J562" s="5"/>
      <c r="K562" s="5"/>
      <c r="L562" s="5"/>
      <c r="M562" s="5"/>
      <c r="N562" s="5"/>
      <c r="O562" s="5"/>
      <c r="P562" s="5"/>
      <c r="Q562" s="5"/>
      <c r="R562" s="5"/>
      <c r="S562" s="5"/>
      <c r="T562" s="5"/>
      <c r="U562" s="5"/>
      <c r="V562" s="5"/>
      <c r="W562" s="5"/>
    </row>
    <row r="563" spans="1:23" ht="16" x14ac:dyDescent="0.2">
      <c r="A563" s="5"/>
      <c r="B563" s="6"/>
      <c r="C563" s="6"/>
      <c r="D563" s="6"/>
      <c r="E563" s="6"/>
      <c r="F563" s="5"/>
      <c r="G563" s="5"/>
      <c r="H563" s="5"/>
      <c r="I563" s="5"/>
      <c r="J563" s="5"/>
      <c r="K563" s="5"/>
      <c r="L563" s="5"/>
      <c r="M563" s="5"/>
      <c r="N563" s="5"/>
      <c r="O563" s="5"/>
      <c r="P563" s="5"/>
      <c r="Q563" s="5"/>
      <c r="R563" s="5"/>
      <c r="S563" s="5"/>
      <c r="T563" s="5"/>
      <c r="U563" s="5"/>
      <c r="V563" s="5"/>
      <c r="W563" s="5"/>
    </row>
    <row r="564" spans="1:23" ht="16" x14ac:dyDescent="0.2">
      <c r="A564" s="5"/>
      <c r="B564" s="6"/>
      <c r="C564" s="6"/>
      <c r="D564" s="6"/>
      <c r="E564" s="6"/>
      <c r="F564" s="5"/>
      <c r="G564" s="5"/>
      <c r="H564" s="5"/>
      <c r="I564" s="5"/>
      <c r="J564" s="5"/>
      <c r="K564" s="5"/>
      <c r="L564" s="5"/>
      <c r="M564" s="5"/>
      <c r="N564" s="5"/>
      <c r="O564" s="5"/>
      <c r="P564" s="5"/>
      <c r="Q564" s="5"/>
      <c r="R564" s="5"/>
      <c r="S564" s="5"/>
      <c r="T564" s="5"/>
      <c r="U564" s="5"/>
      <c r="V564" s="5"/>
      <c r="W564" s="5"/>
    </row>
    <row r="565" spans="1:23" ht="16" x14ac:dyDescent="0.2">
      <c r="A565" s="5"/>
      <c r="B565" s="6"/>
      <c r="C565" s="6"/>
      <c r="D565" s="6"/>
      <c r="E565" s="6"/>
      <c r="F565" s="5"/>
      <c r="G565" s="5"/>
      <c r="H565" s="5"/>
      <c r="I565" s="5"/>
      <c r="J565" s="5"/>
      <c r="K565" s="5"/>
      <c r="L565" s="5"/>
      <c r="M565" s="5"/>
      <c r="N565" s="5"/>
      <c r="O565" s="5"/>
      <c r="P565" s="5"/>
      <c r="Q565" s="5"/>
      <c r="R565" s="5"/>
      <c r="S565" s="5"/>
      <c r="T565" s="5"/>
      <c r="U565" s="5"/>
      <c r="V565" s="5"/>
      <c r="W565" s="5"/>
    </row>
    <row r="566" spans="1:23" ht="16" x14ac:dyDescent="0.2">
      <c r="A566" s="5"/>
      <c r="B566" s="6"/>
      <c r="C566" s="6"/>
      <c r="D566" s="6"/>
      <c r="E566" s="6"/>
      <c r="F566" s="5"/>
      <c r="G566" s="5"/>
      <c r="H566" s="5"/>
      <c r="I566" s="5"/>
      <c r="J566" s="5"/>
      <c r="K566" s="5"/>
      <c r="L566" s="5"/>
      <c r="M566" s="5"/>
      <c r="N566" s="5"/>
      <c r="O566" s="5"/>
      <c r="P566" s="5"/>
      <c r="Q566" s="5"/>
      <c r="R566" s="5"/>
      <c r="S566" s="5"/>
      <c r="T566" s="5"/>
      <c r="U566" s="5"/>
      <c r="V566" s="5"/>
      <c r="W566" s="5"/>
    </row>
    <row r="567" spans="1:23" ht="16" x14ac:dyDescent="0.2">
      <c r="A567" s="5"/>
      <c r="B567" s="6"/>
      <c r="C567" s="6"/>
      <c r="D567" s="6"/>
      <c r="E567" s="6"/>
      <c r="F567" s="5"/>
      <c r="G567" s="5"/>
      <c r="H567" s="5"/>
      <c r="I567" s="5"/>
      <c r="J567" s="5"/>
      <c r="K567" s="5"/>
      <c r="L567" s="5"/>
      <c r="M567" s="5"/>
      <c r="N567" s="5"/>
      <c r="O567" s="5"/>
      <c r="P567" s="5"/>
      <c r="Q567" s="5"/>
      <c r="R567" s="5"/>
      <c r="S567" s="5"/>
      <c r="T567" s="5"/>
      <c r="U567" s="5"/>
      <c r="V567" s="5"/>
      <c r="W567" s="5"/>
    </row>
    <row r="568" spans="1:23" ht="16" x14ac:dyDescent="0.2">
      <c r="A568" s="5"/>
      <c r="B568" s="6"/>
      <c r="C568" s="6"/>
      <c r="D568" s="6"/>
      <c r="E568" s="6"/>
      <c r="F568" s="5"/>
      <c r="G568" s="5"/>
      <c r="H568" s="5"/>
      <c r="I568" s="5"/>
      <c r="J568" s="5"/>
      <c r="K568" s="5"/>
      <c r="L568" s="5"/>
      <c r="M568" s="5"/>
      <c r="N568" s="5"/>
      <c r="O568" s="5"/>
      <c r="P568" s="5"/>
      <c r="Q568" s="5"/>
      <c r="R568" s="5"/>
      <c r="S568" s="5"/>
      <c r="T568" s="5"/>
      <c r="U568" s="5"/>
      <c r="V568" s="5"/>
      <c r="W568" s="5"/>
    </row>
    <row r="569" spans="1:23" ht="16" x14ac:dyDescent="0.2">
      <c r="A569" s="5"/>
      <c r="B569" s="6"/>
      <c r="C569" s="6"/>
      <c r="D569" s="6"/>
      <c r="E569" s="6"/>
      <c r="F569" s="5"/>
      <c r="G569" s="5"/>
      <c r="H569" s="5"/>
      <c r="I569" s="5"/>
      <c r="J569" s="5"/>
      <c r="K569" s="5"/>
      <c r="L569" s="5"/>
      <c r="M569" s="5"/>
      <c r="N569" s="5"/>
      <c r="O569" s="5"/>
      <c r="P569" s="5"/>
      <c r="Q569" s="5"/>
      <c r="R569" s="5"/>
      <c r="S569" s="5"/>
      <c r="T569" s="5"/>
      <c r="U569" s="5"/>
      <c r="V569" s="5"/>
      <c r="W569" s="5"/>
    </row>
    <row r="570" spans="1:23" ht="16" x14ac:dyDescent="0.2">
      <c r="A570" s="5"/>
      <c r="B570" s="6"/>
      <c r="C570" s="6"/>
      <c r="D570" s="6"/>
      <c r="E570" s="6"/>
      <c r="F570" s="5"/>
      <c r="G570" s="5"/>
      <c r="H570" s="5"/>
      <c r="I570" s="5"/>
      <c r="J570" s="5"/>
      <c r="K570" s="5"/>
      <c r="L570" s="5"/>
      <c r="M570" s="5"/>
      <c r="N570" s="5"/>
      <c r="O570" s="5"/>
      <c r="P570" s="5"/>
      <c r="Q570" s="5"/>
      <c r="R570" s="5"/>
      <c r="S570" s="5"/>
      <c r="T570" s="5"/>
      <c r="U570" s="5"/>
      <c r="V570" s="5"/>
      <c r="W570" s="5"/>
    </row>
    <row r="571" spans="1:23" ht="16" x14ac:dyDescent="0.2">
      <c r="A571" s="5"/>
      <c r="B571" s="6"/>
      <c r="C571" s="6"/>
      <c r="D571" s="6"/>
      <c r="E571" s="6"/>
      <c r="F571" s="5"/>
      <c r="G571" s="5"/>
      <c r="H571" s="5"/>
      <c r="I571" s="5"/>
      <c r="J571" s="5"/>
      <c r="K571" s="5"/>
      <c r="L571" s="5"/>
      <c r="M571" s="5"/>
      <c r="N571" s="5"/>
      <c r="O571" s="5"/>
      <c r="P571" s="5"/>
      <c r="Q571" s="5"/>
      <c r="R571" s="5"/>
      <c r="S571" s="5"/>
      <c r="T571" s="5"/>
      <c r="U571" s="5"/>
      <c r="V571" s="5"/>
      <c r="W571" s="5"/>
    </row>
    <row r="572" spans="1:23" ht="16" x14ac:dyDescent="0.2">
      <c r="A572" s="5"/>
      <c r="B572" s="6"/>
      <c r="C572" s="6"/>
      <c r="D572" s="6"/>
      <c r="E572" s="6"/>
      <c r="F572" s="5"/>
      <c r="G572" s="5"/>
      <c r="H572" s="5"/>
      <c r="I572" s="5"/>
      <c r="J572" s="5"/>
      <c r="K572" s="5"/>
      <c r="L572" s="5"/>
      <c r="M572" s="5"/>
      <c r="N572" s="5"/>
      <c r="O572" s="5"/>
      <c r="P572" s="5"/>
      <c r="Q572" s="5"/>
      <c r="R572" s="5"/>
      <c r="S572" s="5"/>
      <c r="T572" s="5"/>
      <c r="U572" s="5"/>
      <c r="V572" s="5"/>
      <c r="W572" s="5"/>
    </row>
    <row r="573" spans="1:23" ht="16" x14ac:dyDescent="0.2">
      <c r="A573" s="5"/>
      <c r="B573" s="6"/>
      <c r="C573" s="6"/>
      <c r="D573" s="6"/>
      <c r="E573" s="6"/>
      <c r="F573" s="5"/>
      <c r="G573" s="5"/>
      <c r="H573" s="5"/>
      <c r="I573" s="5"/>
      <c r="J573" s="5"/>
      <c r="K573" s="5"/>
      <c r="L573" s="5"/>
      <c r="M573" s="5"/>
      <c r="N573" s="5"/>
      <c r="O573" s="5"/>
      <c r="P573" s="5"/>
      <c r="Q573" s="5"/>
      <c r="R573" s="5"/>
      <c r="S573" s="5"/>
      <c r="T573" s="5"/>
      <c r="U573" s="5"/>
      <c r="V573" s="5"/>
      <c r="W573" s="5"/>
    </row>
    <row r="574" spans="1:23" ht="16" x14ac:dyDescent="0.2">
      <c r="A574" s="5"/>
      <c r="B574" s="6"/>
      <c r="C574" s="6"/>
      <c r="D574" s="6"/>
      <c r="E574" s="6"/>
      <c r="F574" s="5"/>
      <c r="G574" s="5"/>
      <c r="H574" s="5"/>
      <c r="I574" s="5"/>
      <c r="J574" s="5"/>
      <c r="K574" s="5"/>
      <c r="L574" s="5"/>
      <c r="M574" s="5"/>
      <c r="N574" s="5"/>
      <c r="O574" s="5"/>
      <c r="P574" s="5"/>
      <c r="Q574" s="5"/>
      <c r="R574" s="5"/>
      <c r="S574" s="5"/>
      <c r="T574" s="5"/>
      <c r="U574" s="5"/>
      <c r="V574" s="5"/>
      <c r="W574" s="5"/>
    </row>
    <row r="575" spans="1:23" ht="16" x14ac:dyDescent="0.2">
      <c r="A575" s="5"/>
      <c r="B575" s="6"/>
      <c r="C575" s="6"/>
      <c r="D575" s="6"/>
      <c r="E575" s="6"/>
      <c r="F575" s="5"/>
      <c r="G575" s="5"/>
      <c r="H575" s="5"/>
      <c r="I575" s="5"/>
      <c r="J575" s="5"/>
      <c r="K575" s="5"/>
      <c r="L575" s="5"/>
      <c r="M575" s="5"/>
      <c r="N575" s="5"/>
      <c r="O575" s="5"/>
      <c r="P575" s="5"/>
      <c r="Q575" s="5"/>
      <c r="R575" s="5"/>
      <c r="S575" s="5"/>
      <c r="T575" s="5"/>
      <c r="U575" s="5"/>
      <c r="V575" s="5"/>
      <c r="W575" s="5"/>
    </row>
    <row r="576" spans="1:23" ht="16" x14ac:dyDescent="0.2">
      <c r="A576" s="5"/>
      <c r="B576" s="6"/>
      <c r="C576" s="6"/>
      <c r="D576" s="6"/>
      <c r="E576" s="6"/>
      <c r="F576" s="5"/>
      <c r="G576" s="5"/>
      <c r="H576" s="5"/>
      <c r="I576" s="5"/>
      <c r="J576" s="5"/>
      <c r="K576" s="5"/>
      <c r="L576" s="5"/>
      <c r="M576" s="5"/>
      <c r="N576" s="5"/>
      <c r="O576" s="5"/>
      <c r="P576" s="5"/>
      <c r="Q576" s="5"/>
      <c r="R576" s="5"/>
      <c r="S576" s="5"/>
      <c r="T576" s="5"/>
      <c r="U576" s="5"/>
      <c r="V576" s="5"/>
      <c r="W576" s="5"/>
    </row>
    <row r="577" spans="1:23" ht="16" x14ac:dyDescent="0.2">
      <c r="A577" s="5"/>
      <c r="B577" s="6"/>
      <c r="C577" s="6"/>
      <c r="D577" s="6"/>
      <c r="E577" s="6"/>
      <c r="F577" s="5"/>
      <c r="G577" s="5"/>
      <c r="H577" s="5"/>
      <c r="I577" s="5"/>
      <c r="J577" s="5"/>
      <c r="K577" s="5"/>
      <c r="L577" s="5"/>
      <c r="M577" s="5"/>
      <c r="N577" s="5"/>
      <c r="O577" s="5"/>
      <c r="P577" s="5"/>
      <c r="Q577" s="5"/>
      <c r="R577" s="5"/>
      <c r="S577" s="5"/>
      <c r="T577" s="5"/>
      <c r="U577" s="5"/>
      <c r="V577" s="5"/>
      <c r="W577" s="5"/>
    </row>
    <row r="578" spans="1:23" ht="16" x14ac:dyDescent="0.2">
      <c r="A578" s="5"/>
      <c r="B578" s="6"/>
      <c r="C578" s="6"/>
      <c r="D578" s="6"/>
      <c r="E578" s="6"/>
      <c r="F578" s="5"/>
      <c r="G578" s="5"/>
      <c r="H578" s="5"/>
      <c r="I578" s="5"/>
      <c r="J578" s="5"/>
      <c r="K578" s="5"/>
      <c r="L578" s="5"/>
      <c r="M578" s="5"/>
      <c r="N578" s="5"/>
      <c r="O578" s="5"/>
      <c r="P578" s="5"/>
      <c r="Q578" s="5"/>
      <c r="R578" s="5"/>
      <c r="S578" s="5"/>
      <c r="T578" s="5"/>
      <c r="U578" s="5"/>
      <c r="V578" s="5"/>
      <c r="W578" s="5"/>
    </row>
    <row r="579" spans="1:23" ht="16" x14ac:dyDescent="0.2">
      <c r="A579" s="5"/>
      <c r="B579" s="6"/>
      <c r="C579" s="6"/>
      <c r="D579" s="6"/>
      <c r="E579" s="6"/>
      <c r="F579" s="5"/>
      <c r="G579" s="5"/>
      <c r="H579" s="5"/>
      <c r="I579" s="5"/>
      <c r="J579" s="5"/>
      <c r="K579" s="5"/>
      <c r="L579" s="5"/>
      <c r="M579" s="5"/>
      <c r="N579" s="5"/>
      <c r="O579" s="5"/>
      <c r="P579" s="5"/>
      <c r="Q579" s="5"/>
      <c r="R579" s="5"/>
      <c r="S579" s="5"/>
      <c r="T579" s="5"/>
      <c r="U579" s="5"/>
      <c r="V579" s="5"/>
      <c r="W579" s="5"/>
    </row>
    <row r="580" spans="1:23" ht="16" x14ac:dyDescent="0.2">
      <c r="A580" s="5"/>
      <c r="B580" s="6"/>
      <c r="C580" s="6"/>
      <c r="D580" s="6"/>
      <c r="E580" s="6"/>
      <c r="F580" s="5"/>
      <c r="G580" s="5"/>
      <c r="H580" s="5"/>
      <c r="I580" s="5"/>
      <c r="J580" s="5"/>
      <c r="K580" s="5"/>
      <c r="L580" s="5"/>
      <c r="M580" s="5"/>
      <c r="N580" s="5"/>
      <c r="O580" s="5"/>
      <c r="P580" s="5"/>
      <c r="Q580" s="5"/>
      <c r="R580" s="5"/>
      <c r="S580" s="5"/>
      <c r="T580" s="5"/>
      <c r="U580" s="5"/>
      <c r="V580" s="5"/>
      <c r="W580" s="5"/>
    </row>
    <row r="581" spans="1:23" ht="16" x14ac:dyDescent="0.2">
      <c r="A581" s="5"/>
      <c r="B581" s="6"/>
      <c r="C581" s="6"/>
      <c r="D581" s="6"/>
      <c r="E581" s="6"/>
      <c r="F581" s="5"/>
      <c r="G581" s="5"/>
      <c r="H581" s="5"/>
      <c r="I581" s="5"/>
      <c r="J581" s="5"/>
      <c r="K581" s="5"/>
      <c r="L581" s="5"/>
      <c r="M581" s="5"/>
      <c r="N581" s="5"/>
      <c r="O581" s="5"/>
      <c r="P581" s="5"/>
      <c r="Q581" s="5"/>
      <c r="R581" s="5"/>
      <c r="S581" s="5"/>
      <c r="T581" s="5"/>
      <c r="U581" s="5"/>
      <c r="V581" s="5"/>
      <c r="W581" s="5"/>
    </row>
    <row r="582" spans="1:23" ht="16" x14ac:dyDescent="0.2">
      <c r="A582" s="5"/>
      <c r="B582" s="6"/>
      <c r="C582" s="6"/>
      <c r="D582" s="6"/>
      <c r="E582" s="6"/>
      <c r="F582" s="5"/>
      <c r="G582" s="5"/>
      <c r="H582" s="5"/>
      <c r="I582" s="5"/>
      <c r="J582" s="5"/>
      <c r="K582" s="5"/>
      <c r="L582" s="5"/>
      <c r="M582" s="5"/>
      <c r="N582" s="5"/>
      <c r="O582" s="5"/>
      <c r="P582" s="5"/>
      <c r="Q582" s="5"/>
      <c r="R582" s="5"/>
      <c r="S582" s="5"/>
      <c r="T582" s="5"/>
      <c r="U582" s="5"/>
      <c r="V582" s="5"/>
      <c r="W582" s="5"/>
    </row>
    <row r="583" spans="1:23" ht="16" x14ac:dyDescent="0.2">
      <c r="A583" s="5"/>
      <c r="B583" s="6"/>
      <c r="C583" s="6"/>
      <c r="D583" s="6"/>
      <c r="E583" s="6"/>
      <c r="F583" s="5"/>
      <c r="G583" s="5"/>
      <c r="H583" s="5"/>
      <c r="I583" s="5"/>
      <c r="J583" s="5"/>
      <c r="K583" s="5"/>
      <c r="L583" s="5"/>
      <c r="M583" s="5"/>
      <c r="N583" s="5"/>
      <c r="O583" s="5"/>
      <c r="P583" s="5"/>
      <c r="Q583" s="5"/>
      <c r="R583" s="5"/>
      <c r="S583" s="5"/>
      <c r="T583" s="5"/>
      <c r="U583" s="5"/>
      <c r="V583" s="5"/>
      <c r="W583" s="5"/>
    </row>
    <row r="584" spans="1:23" ht="16" x14ac:dyDescent="0.2">
      <c r="A584" s="5"/>
      <c r="B584" s="6"/>
      <c r="C584" s="6"/>
      <c r="D584" s="6"/>
      <c r="E584" s="6"/>
      <c r="F584" s="5"/>
      <c r="G584" s="5"/>
      <c r="H584" s="5"/>
      <c r="I584" s="5"/>
      <c r="J584" s="5"/>
      <c r="K584" s="5"/>
      <c r="L584" s="5"/>
      <c r="M584" s="5"/>
      <c r="N584" s="5"/>
      <c r="O584" s="5"/>
      <c r="P584" s="5"/>
      <c r="Q584" s="5"/>
      <c r="R584" s="5"/>
      <c r="S584" s="5"/>
      <c r="T584" s="5"/>
      <c r="U584" s="5"/>
      <c r="V584" s="5"/>
      <c r="W584" s="5"/>
    </row>
    <row r="585" spans="1:23" ht="16" x14ac:dyDescent="0.2">
      <c r="A585" s="5"/>
      <c r="B585" s="6"/>
      <c r="C585" s="6"/>
      <c r="D585" s="6"/>
      <c r="E585" s="6"/>
      <c r="F585" s="5"/>
      <c r="G585" s="5"/>
      <c r="H585" s="5"/>
      <c r="I585" s="5"/>
      <c r="J585" s="5"/>
      <c r="K585" s="5"/>
      <c r="L585" s="5"/>
      <c r="M585" s="5"/>
      <c r="N585" s="5"/>
      <c r="O585" s="5"/>
      <c r="P585" s="5"/>
      <c r="Q585" s="5"/>
      <c r="R585" s="5"/>
      <c r="S585" s="5"/>
      <c r="T585" s="5"/>
      <c r="U585" s="5"/>
      <c r="V585" s="5"/>
      <c r="W585" s="5"/>
    </row>
    <row r="586" spans="1:23" ht="16" x14ac:dyDescent="0.2">
      <c r="A586" s="5"/>
      <c r="B586" s="6"/>
      <c r="C586" s="6"/>
      <c r="D586" s="6"/>
      <c r="E586" s="6"/>
      <c r="F586" s="5"/>
      <c r="G586" s="5"/>
      <c r="H586" s="5"/>
      <c r="I586" s="5"/>
      <c r="J586" s="5"/>
      <c r="K586" s="5"/>
      <c r="L586" s="5"/>
      <c r="M586" s="5"/>
      <c r="N586" s="5"/>
      <c r="O586" s="5"/>
      <c r="P586" s="5"/>
      <c r="Q586" s="5"/>
      <c r="R586" s="5"/>
      <c r="S586" s="5"/>
      <c r="T586" s="5"/>
      <c r="U586" s="5"/>
      <c r="V586" s="5"/>
      <c r="W586" s="5"/>
    </row>
    <row r="587" spans="1:23" ht="16" x14ac:dyDescent="0.2">
      <c r="A587" s="5"/>
      <c r="B587" s="6"/>
      <c r="C587" s="6"/>
      <c r="D587" s="6"/>
      <c r="E587" s="6"/>
      <c r="F587" s="5"/>
      <c r="G587" s="5"/>
      <c r="H587" s="5"/>
      <c r="I587" s="5"/>
      <c r="J587" s="5"/>
      <c r="K587" s="5"/>
      <c r="L587" s="5"/>
      <c r="M587" s="5"/>
      <c r="N587" s="5"/>
      <c r="O587" s="5"/>
      <c r="P587" s="5"/>
      <c r="Q587" s="5"/>
      <c r="R587" s="5"/>
      <c r="S587" s="5"/>
      <c r="T587" s="5"/>
      <c r="U587" s="5"/>
      <c r="V587" s="5"/>
      <c r="W587" s="5"/>
    </row>
    <row r="588" spans="1:23" ht="16" x14ac:dyDescent="0.2">
      <c r="A588" s="5"/>
      <c r="B588" s="6"/>
      <c r="C588" s="6"/>
      <c r="D588" s="6"/>
      <c r="E588" s="6"/>
      <c r="F588" s="5"/>
      <c r="G588" s="5"/>
      <c r="H588" s="5"/>
      <c r="I588" s="5"/>
      <c r="J588" s="5"/>
      <c r="K588" s="5"/>
      <c r="L588" s="5"/>
      <c r="M588" s="5"/>
      <c r="N588" s="5"/>
      <c r="O588" s="5"/>
      <c r="P588" s="5"/>
      <c r="Q588" s="5"/>
      <c r="R588" s="5"/>
      <c r="S588" s="5"/>
      <c r="T588" s="5"/>
      <c r="U588" s="5"/>
      <c r="V588" s="5"/>
      <c r="W588" s="5"/>
    </row>
    <row r="589" spans="1:23" ht="16" x14ac:dyDescent="0.2">
      <c r="A589" s="5"/>
      <c r="B589" s="6"/>
      <c r="C589" s="6"/>
      <c r="D589" s="6"/>
      <c r="E589" s="6"/>
      <c r="F589" s="5"/>
      <c r="G589" s="5"/>
      <c r="H589" s="5"/>
      <c r="I589" s="5"/>
      <c r="J589" s="5"/>
      <c r="K589" s="5"/>
      <c r="L589" s="5"/>
      <c r="M589" s="5"/>
      <c r="N589" s="5"/>
      <c r="O589" s="5"/>
      <c r="P589" s="5"/>
      <c r="Q589" s="5"/>
      <c r="R589" s="5"/>
      <c r="S589" s="5"/>
      <c r="T589" s="5"/>
      <c r="U589" s="5"/>
      <c r="V589" s="5"/>
      <c r="W589" s="5"/>
    </row>
    <row r="590" spans="1:23" ht="16" x14ac:dyDescent="0.2">
      <c r="A590" s="5"/>
      <c r="B590" s="6"/>
      <c r="C590" s="6"/>
      <c r="D590" s="6"/>
      <c r="E590" s="6"/>
      <c r="F590" s="5"/>
      <c r="G590" s="5"/>
      <c r="H590" s="5"/>
      <c r="I590" s="5"/>
      <c r="J590" s="5"/>
      <c r="K590" s="5"/>
      <c r="L590" s="5"/>
      <c r="M590" s="5"/>
      <c r="N590" s="5"/>
      <c r="O590" s="5"/>
      <c r="P590" s="5"/>
      <c r="Q590" s="5"/>
      <c r="R590" s="5"/>
      <c r="S590" s="5"/>
      <c r="T590" s="5"/>
      <c r="U590" s="5"/>
      <c r="V590" s="5"/>
      <c r="W590" s="5"/>
    </row>
    <row r="591" spans="1:23" ht="16" x14ac:dyDescent="0.2">
      <c r="A591" s="5"/>
      <c r="B591" s="6"/>
      <c r="C591" s="6"/>
      <c r="D591" s="6"/>
      <c r="E591" s="6"/>
      <c r="F591" s="5"/>
      <c r="G591" s="5"/>
      <c r="H591" s="5"/>
      <c r="I591" s="5"/>
      <c r="J591" s="5"/>
      <c r="K591" s="5"/>
      <c r="L591" s="5"/>
      <c r="M591" s="5"/>
      <c r="N591" s="5"/>
      <c r="O591" s="5"/>
      <c r="P591" s="5"/>
      <c r="Q591" s="5"/>
      <c r="R591" s="5"/>
      <c r="S591" s="5"/>
      <c r="T591" s="5"/>
      <c r="U591" s="5"/>
      <c r="V591" s="5"/>
      <c r="W591" s="5"/>
    </row>
    <row r="592" spans="1:23" ht="16" x14ac:dyDescent="0.2">
      <c r="A592" s="5"/>
      <c r="B592" s="6"/>
      <c r="C592" s="6"/>
      <c r="D592" s="6"/>
      <c r="E592" s="6"/>
      <c r="F592" s="5"/>
      <c r="G592" s="5"/>
      <c r="H592" s="5"/>
      <c r="I592" s="5"/>
      <c r="J592" s="5"/>
      <c r="K592" s="5"/>
      <c r="L592" s="5"/>
      <c r="M592" s="5"/>
      <c r="N592" s="5"/>
      <c r="O592" s="5"/>
      <c r="P592" s="5"/>
      <c r="Q592" s="5"/>
      <c r="R592" s="5"/>
      <c r="S592" s="5"/>
      <c r="T592" s="5"/>
      <c r="U592" s="5"/>
      <c r="V592" s="5"/>
      <c r="W592" s="5"/>
    </row>
    <row r="593" spans="1:23" ht="16" x14ac:dyDescent="0.2">
      <c r="A593" s="5"/>
      <c r="B593" s="6"/>
      <c r="C593" s="6"/>
      <c r="D593" s="6"/>
      <c r="E593" s="6"/>
      <c r="F593" s="5"/>
      <c r="G593" s="5"/>
      <c r="H593" s="5"/>
      <c r="I593" s="5"/>
      <c r="J593" s="5"/>
      <c r="K593" s="5"/>
      <c r="L593" s="5"/>
      <c r="M593" s="5"/>
      <c r="N593" s="5"/>
      <c r="O593" s="5"/>
      <c r="P593" s="5"/>
      <c r="Q593" s="5"/>
      <c r="R593" s="5"/>
      <c r="S593" s="5"/>
      <c r="T593" s="5"/>
      <c r="U593" s="5"/>
      <c r="V593" s="5"/>
      <c r="W593" s="5"/>
    </row>
    <row r="594" spans="1:23" ht="16" x14ac:dyDescent="0.2">
      <c r="A594" s="5"/>
      <c r="B594" s="6"/>
      <c r="C594" s="6"/>
      <c r="D594" s="6"/>
      <c r="E594" s="6"/>
      <c r="F594" s="5"/>
      <c r="G594" s="5"/>
      <c r="H594" s="5"/>
      <c r="I594" s="5"/>
      <c r="J594" s="5"/>
      <c r="K594" s="5"/>
      <c r="L594" s="5"/>
      <c r="M594" s="5"/>
      <c r="N594" s="5"/>
      <c r="O594" s="5"/>
      <c r="P594" s="5"/>
      <c r="Q594" s="5"/>
      <c r="R594" s="5"/>
      <c r="S594" s="5"/>
      <c r="T594" s="5"/>
      <c r="U594" s="5"/>
      <c r="V594" s="5"/>
      <c r="W594" s="5"/>
    </row>
    <row r="595" spans="1:23" ht="16" x14ac:dyDescent="0.2">
      <c r="A595" s="5"/>
      <c r="B595" s="6"/>
      <c r="C595" s="6"/>
      <c r="D595" s="6"/>
      <c r="E595" s="6"/>
      <c r="F595" s="5"/>
      <c r="G595" s="5"/>
      <c r="H595" s="5"/>
      <c r="I595" s="5"/>
      <c r="J595" s="5"/>
      <c r="K595" s="5"/>
      <c r="L595" s="5"/>
      <c r="M595" s="5"/>
      <c r="N595" s="5"/>
      <c r="O595" s="5"/>
      <c r="P595" s="5"/>
      <c r="Q595" s="5"/>
      <c r="R595" s="5"/>
      <c r="S595" s="5"/>
      <c r="T595" s="5"/>
      <c r="U595" s="5"/>
      <c r="V595" s="5"/>
      <c r="W595" s="5"/>
    </row>
    <row r="596" spans="1:23" ht="16" x14ac:dyDescent="0.2">
      <c r="A596" s="5"/>
      <c r="B596" s="6"/>
      <c r="C596" s="6"/>
      <c r="D596" s="6"/>
      <c r="E596" s="6"/>
      <c r="F596" s="5"/>
      <c r="G596" s="5"/>
      <c r="H596" s="5"/>
      <c r="I596" s="5"/>
      <c r="J596" s="5"/>
      <c r="K596" s="5"/>
      <c r="L596" s="5"/>
      <c r="M596" s="5"/>
      <c r="N596" s="5"/>
      <c r="O596" s="5"/>
      <c r="P596" s="5"/>
      <c r="Q596" s="5"/>
      <c r="R596" s="5"/>
      <c r="S596" s="5"/>
      <c r="T596" s="5"/>
      <c r="U596" s="5"/>
      <c r="V596" s="5"/>
      <c r="W596" s="5"/>
    </row>
    <row r="597" spans="1:23" ht="16" x14ac:dyDescent="0.2">
      <c r="A597" s="5"/>
      <c r="B597" s="6"/>
      <c r="C597" s="6"/>
      <c r="D597" s="6"/>
      <c r="E597" s="6"/>
      <c r="F597" s="5"/>
      <c r="G597" s="5"/>
      <c r="H597" s="5"/>
      <c r="I597" s="5"/>
      <c r="J597" s="5"/>
      <c r="K597" s="5"/>
      <c r="L597" s="5"/>
      <c r="M597" s="5"/>
      <c r="N597" s="5"/>
      <c r="O597" s="5"/>
      <c r="P597" s="5"/>
      <c r="Q597" s="5"/>
      <c r="R597" s="5"/>
      <c r="S597" s="5"/>
      <c r="T597" s="5"/>
      <c r="U597" s="5"/>
      <c r="V597" s="5"/>
      <c r="W597" s="5"/>
    </row>
    <row r="598" spans="1:23" ht="16" x14ac:dyDescent="0.2">
      <c r="A598" s="5"/>
      <c r="B598" s="6"/>
      <c r="C598" s="6"/>
      <c r="D598" s="6"/>
      <c r="E598" s="6"/>
      <c r="F598" s="5"/>
      <c r="G598" s="5"/>
      <c r="H598" s="5"/>
      <c r="I598" s="5"/>
      <c r="J598" s="5"/>
      <c r="K598" s="5"/>
      <c r="L598" s="5"/>
      <c r="M598" s="5"/>
      <c r="N598" s="5"/>
      <c r="O598" s="5"/>
      <c r="P598" s="5"/>
      <c r="Q598" s="5"/>
      <c r="R598" s="5"/>
      <c r="S598" s="5"/>
      <c r="T598" s="5"/>
      <c r="U598" s="5"/>
      <c r="V598" s="5"/>
      <c r="W598" s="5"/>
    </row>
    <row r="599" spans="1:23" ht="16" x14ac:dyDescent="0.2">
      <c r="A599" s="5"/>
      <c r="B599" s="6"/>
      <c r="C599" s="6"/>
      <c r="D599" s="6"/>
      <c r="E599" s="6"/>
      <c r="F599" s="5"/>
      <c r="G599" s="5"/>
      <c r="H599" s="5"/>
      <c r="I599" s="5"/>
      <c r="J599" s="5"/>
      <c r="K599" s="5"/>
      <c r="L599" s="5"/>
      <c r="M599" s="5"/>
      <c r="N599" s="5"/>
      <c r="O599" s="5"/>
      <c r="P599" s="5"/>
      <c r="Q599" s="5"/>
      <c r="R599" s="5"/>
      <c r="S599" s="5"/>
      <c r="T599" s="5"/>
      <c r="U599" s="5"/>
      <c r="V599" s="5"/>
      <c r="W599" s="5"/>
    </row>
    <row r="600" spans="1:23" ht="16" x14ac:dyDescent="0.2">
      <c r="A600" s="5"/>
      <c r="B600" s="6"/>
      <c r="C600" s="6"/>
      <c r="D600" s="6"/>
      <c r="E600" s="6"/>
      <c r="F600" s="5"/>
      <c r="G600" s="5"/>
      <c r="H600" s="5"/>
      <c r="I600" s="5"/>
      <c r="J600" s="5"/>
      <c r="K600" s="5"/>
      <c r="L600" s="5"/>
      <c r="M600" s="5"/>
      <c r="N600" s="5"/>
      <c r="O600" s="5"/>
      <c r="P600" s="5"/>
      <c r="Q600" s="5"/>
      <c r="R600" s="5"/>
      <c r="S600" s="5"/>
      <c r="T600" s="5"/>
      <c r="U600" s="5"/>
      <c r="V600" s="5"/>
      <c r="W600" s="5"/>
    </row>
    <row r="601" spans="1:23" ht="16" x14ac:dyDescent="0.2">
      <c r="A601" s="5"/>
      <c r="B601" s="6"/>
      <c r="C601" s="6"/>
      <c r="D601" s="6"/>
      <c r="E601" s="6"/>
      <c r="F601" s="5"/>
      <c r="G601" s="5"/>
      <c r="H601" s="5"/>
      <c r="I601" s="5"/>
      <c r="J601" s="5"/>
      <c r="K601" s="5"/>
      <c r="L601" s="5"/>
      <c r="M601" s="5"/>
      <c r="N601" s="5"/>
      <c r="O601" s="5"/>
      <c r="P601" s="5"/>
      <c r="Q601" s="5"/>
      <c r="R601" s="5"/>
      <c r="S601" s="5"/>
      <c r="T601" s="5"/>
      <c r="U601" s="5"/>
      <c r="V601" s="5"/>
      <c r="W601" s="5"/>
    </row>
    <row r="602" spans="1:23" ht="16" x14ac:dyDescent="0.2">
      <c r="A602" s="5"/>
      <c r="B602" s="6"/>
      <c r="C602" s="6"/>
      <c r="D602" s="6"/>
      <c r="E602" s="6"/>
      <c r="F602" s="5"/>
      <c r="G602" s="5"/>
      <c r="H602" s="5"/>
      <c r="I602" s="5"/>
      <c r="J602" s="5"/>
      <c r="K602" s="5"/>
      <c r="L602" s="5"/>
      <c r="M602" s="5"/>
      <c r="N602" s="5"/>
      <c r="O602" s="5"/>
      <c r="P602" s="5"/>
      <c r="Q602" s="5"/>
      <c r="R602" s="5"/>
      <c r="S602" s="5"/>
      <c r="T602" s="5"/>
      <c r="U602" s="5"/>
      <c r="V602" s="5"/>
      <c r="W602" s="5"/>
    </row>
    <row r="603" spans="1:23" ht="16" x14ac:dyDescent="0.2">
      <c r="A603" s="5"/>
      <c r="B603" s="6"/>
      <c r="C603" s="6"/>
      <c r="D603" s="6"/>
      <c r="E603" s="6"/>
      <c r="F603" s="5"/>
      <c r="G603" s="5"/>
      <c r="H603" s="5"/>
      <c r="I603" s="5"/>
      <c r="J603" s="5"/>
      <c r="K603" s="5"/>
      <c r="L603" s="5"/>
      <c r="M603" s="5"/>
      <c r="N603" s="5"/>
      <c r="O603" s="5"/>
      <c r="P603" s="5"/>
      <c r="Q603" s="5"/>
      <c r="R603" s="5"/>
      <c r="S603" s="5"/>
      <c r="T603" s="5"/>
      <c r="U603" s="5"/>
      <c r="V603" s="5"/>
      <c r="W603" s="5"/>
    </row>
    <row r="604" spans="1:23" ht="16" x14ac:dyDescent="0.2">
      <c r="A604" s="5"/>
      <c r="B604" s="6"/>
      <c r="C604" s="6"/>
      <c r="D604" s="6"/>
      <c r="E604" s="6"/>
      <c r="F604" s="5"/>
      <c r="G604" s="5"/>
      <c r="H604" s="5"/>
      <c r="I604" s="5"/>
      <c r="J604" s="5"/>
      <c r="K604" s="5"/>
      <c r="L604" s="5"/>
      <c r="M604" s="5"/>
      <c r="N604" s="5"/>
      <c r="O604" s="5"/>
      <c r="P604" s="5"/>
      <c r="Q604" s="5"/>
      <c r="R604" s="5"/>
      <c r="S604" s="5"/>
      <c r="T604" s="5"/>
      <c r="U604" s="5"/>
      <c r="V604" s="5"/>
      <c r="W604" s="5"/>
    </row>
    <row r="605" spans="1:23" ht="16" x14ac:dyDescent="0.2">
      <c r="A605" s="5"/>
      <c r="B605" s="6"/>
      <c r="C605" s="6"/>
      <c r="D605" s="6"/>
      <c r="E605" s="6"/>
      <c r="F605" s="5"/>
      <c r="G605" s="5"/>
      <c r="H605" s="5"/>
      <c r="I605" s="5"/>
      <c r="J605" s="5"/>
      <c r="K605" s="5"/>
      <c r="L605" s="5"/>
      <c r="M605" s="5"/>
      <c r="N605" s="5"/>
      <c r="O605" s="5"/>
      <c r="P605" s="5"/>
      <c r="Q605" s="5"/>
      <c r="R605" s="5"/>
      <c r="S605" s="5"/>
      <c r="T605" s="5"/>
      <c r="U605" s="5"/>
      <c r="V605" s="5"/>
      <c r="W605" s="5"/>
    </row>
    <row r="606" spans="1:23" ht="16" x14ac:dyDescent="0.2">
      <c r="A606" s="5"/>
      <c r="B606" s="6"/>
      <c r="C606" s="6"/>
      <c r="D606" s="6"/>
      <c r="E606" s="6"/>
      <c r="F606" s="5"/>
      <c r="G606" s="5"/>
      <c r="H606" s="5"/>
      <c r="I606" s="5"/>
      <c r="J606" s="5"/>
      <c r="K606" s="5"/>
      <c r="L606" s="5"/>
      <c r="M606" s="5"/>
      <c r="N606" s="5"/>
      <c r="O606" s="5"/>
      <c r="P606" s="5"/>
      <c r="Q606" s="5"/>
      <c r="R606" s="5"/>
      <c r="S606" s="5"/>
      <c r="T606" s="5"/>
      <c r="U606" s="5"/>
      <c r="V606" s="5"/>
      <c r="W606" s="5"/>
    </row>
    <row r="607" spans="1:23" ht="16" x14ac:dyDescent="0.2">
      <c r="A607" s="5"/>
      <c r="B607" s="6"/>
      <c r="C607" s="6"/>
      <c r="D607" s="6"/>
      <c r="E607" s="6"/>
      <c r="F607" s="5"/>
      <c r="G607" s="5"/>
      <c r="H607" s="5"/>
      <c r="I607" s="5"/>
      <c r="J607" s="5"/>
      <c r="K607" s="5"/>
      <c r="L607" s="5"/>
      <c r="M607" s="5"/>
      <c r="N607" s="5"/>
      <c r="O607" s="5"/>
      <c r="P607" s="5"/>
      <c r="Q607" s="5"/>
      <c r="R607" s="5"/>
      <c r="S607" s="5"/>
      <c r="T607" s="5"/>
      <c r="U607" s="5"/>
      <c r="V607" s="5"/>
      <c r="W607" s="5"/>
    </row>
    <row r="608" spans="1:23" ht="16" x14ac:dyDescent="0.2">
      <c r="A608" s="5"/>
      <c r="B608" s="6"/>
      <c r="C608" s="6"/>
      <c r="D608" s="6"/>
      <c r="E608" s="6"/>
      <c r="F608" s="5"/>
      <c r="G608" s="5"/>
      <c r="H608" s="5"/>
      <c r="I608" s="5"/>
      <c r="J608" s="5"/>
      <c r="K608" s="5"/>
      <c r="L608" s="5"/>
      <c r="M608" s="5"/>
      <c r="N608" s="5"/>
      <c r="O608" s="5"/>
      <c r="P608" s="5"/>
      <c r="Q608" s="5"/>
      <c r="R608" s="5"/>
      <c r="S608" s="5"/>
      <c r="T608" s="5"/>
      <c r="U608" s="5"/>
      <c r="V608" s="5"/>
      <c r="W608" s="5"/>
    </row>
    <row r="609" spans="1:23" ht="16" x14ac:dyDescent="0.2">
      <c r="A609" s="5"/>
      <c r="B609" s="6"/>
      <c r="C609" s="6"/>
      <c r="D609" s="6"/>
      <c r="E609" s="6"/>
      <c r="F609" s="5"/>
      <c r="G609" s="5"/>
      <c r="H609" s="5"/>
      <c r="I609" s="5"/>
      <c r="J609" s="5"/>
      <c r="K609" s="5"/>
      <c r="L609" s="5"/>
      <c r="M609" s="5"/>
      <c r="N609" s="5"/>
      <c r="O609" s="5"/>
      <c r="P609" s="5"/>
      <c r="Q609" s="5"/>
      <c r="R609" s="5"/>
      <c r="S609" s="5"/>
      <c r="T609" s="5"/>
      <c r="U609" s="5"/>
      <c r="V609" s="5"/>
      <c r="W609" s="5"/>
    </row>
    <row r="610" spans="1:23" ht="16" x14ac:dyDescent="0.2">
      <c r="A610" s="5"/>
      <c r="B610" s="6"/>
      <c r="C610" s="6"/>
      <c r="D610" s="6"/>
      <c r="E610" s="6"/>
      <c r="F610" s="5"/>
      <c r="G610" s="5"/>
      <c r="H610" s="5"/>
      <c r="I610" s="5"/>
      <c r="J610" s="5"/>
      <c r="K610" s="5"/>
      <c r="L610" s="5"/>
      <c r="M610" s="5"/>
      <c r="N610" s="5"/>
      <c r="O610" s="5"/>
      <c r="P610" s="5"/>
      <c r="Q610" s="5"/>
      <c r="R610" s="5"/>
      <c r="S610" s="5"/>
      <c r="T610" s="5"/>
      <c r="U610" s="5"/>
      <c r="V610" s="5"/>
      <c r="W610" s="5"/>
    </row>
    <row r="611" spans="1:23" ht="16" x14ac:dyDescent="0.2">
      <c r="A611" s="5"/>
      <c r="B611" s="6"/>
      <c r="C611" s="6"/>
      <c r="D611" s="6"/>
      <c r="E611" s="6"/>
      <c r="F611" s="5"/>
      <c r="G611" s="5"/>
      <c r="H611" s="5"/>
      <c r="I611" s="5"/>
      <c r="J611" s="5"/>
      <c r="K611" s="5"/>
      <c r="L611" s="5"/>
      <c r="M611" s="5"/>
      <c r="N611" s="5"/>
      <c r="O611" s="5"/>
      <c r="P611" s="5"/>
      <c r="Q611" s="5"/>
      <c r="R611" s="5"/>
      <c r="S611" s="5"/>
      <c r="T611" s="5"/>
      <c r="U611" s="5"/>
      <c r="V611" s="5"/>
      <c r="W611" s="5"/>
    </row>
    <row r="612" spans="1:23" ht="16" x14ac:dyDescent="0.2">
      <c r="A612" s="5"/>
      <c r="B612" s="6"/>
      <c r="C612" s="6"/>
      <c r="D612" s="6"/>
      <c r="E612" s="6"/>
      <c r="F612" s="5"/>
      <c r="G612" s="5"/>
      <c r="H612" s="5"/>
      <c r="I612" s="5"/>
      <c r="J612" s="5"/>
      <c r="K612" s="5"/>
      <c r="L612" s="5"/>
      <c r="M612" s="5"/>
      <c r="N612" s="5"/>
      <c r="O612" s="5"/>
      <c r="P612" s="5"/>
      <c r="Q612" s="5"/>
      <c r="R612" s="5"/>
      <c r="S612" s="5"/>
      <c r="T612" s="5"/>
      <c r="U612" s="5"/>
      <c r="V612" s="5"/>
      <c r="W612" s="5"/>
    </row>
    <row r="613" spans="1:23" ht="16" x14ac:dyDescent="0.2">
      <c r="A613" s="5"/>
      <c r="B613" s="6"/>
      <c r="C613" s="6"/>
      <c r="D613" s="6"/>
      <c r="E613" s="6"/>
      <c r="F613" s="5"/>
      <c r="G613" s="5"/>
      <c r="H613" s="5"/>
      <c r="I613" s="5"/>
      <c r="J613" s="5"/>
      <c r="K613" s="5"/>
      <c r="L613" s="5"/>
      <c r="M613" s="5"/>
      <c r="N613" s="5"/>
      <c r="O613" s="5"/>
      <c r="P613" s="5"/>
      <c r="Q613" s="5"/>
      <c r="R613" s="5"/>
      <c r="S613" s="5"/>
      <c r="T613" s="5"/>
      <c r="U613" s="5"/>
      <c r="V613" s="5"/>
      <c r="W613" s="5"/>
    </row>
    <row r="614" spans="1:23" ht="16" x14ac:dyDescent="0.2">
      <c r="A614" s="5"/>
      <c r="B614" s="6"/>
      <c r="C614" s="6"/>
      <c r="D614" s="6"/>
      <c r="E614" s="6"/>
      <c r="F614" s="5"/>
      <c r="G614" s="5"/>
      <c r="H614" s="5"/>
      <c r="I614" s="5"/>
      <c r="J614" s="5"/>
      <c r="K614" s="5"/>
      <c r="L614" s="5"/>
      <c r="M614" s="5"/>
      <c r="N614" s="5"/>
      <c r="O614" s="5"/>
      <c r="P614" s="5"/>
      <c r="Q614" s="5"/>
      <c r="R614" s="5"/>
      <c r="S614" s="5"/>
      <c r="T614" s="5"/>
      <c r="U614" s="5"/>
      <c r="V614" s="5"/>
      <c r="W614" s="5"/>
    </row>
    <row r="615" spans="1:23" ht="16" x14ac:dyDescent="0.2">
      <c r="A615" s="5"/>
      <c r="B615" s="6"/>
      <c r="C615" s="6"/>
      <c r="D615" s="6"/>
      <c r="E615" s="6"/>
      <c r="F615" s="5"/>
      <c r="G615" s="5"/>
      <c r="H615" s="5"/>
      <c r="I615" s="5"/>
      <c r="J615" s="5"/>
      <c r="K615" s="5"/>
      <c r="L615" s="5"/>
      <c r="M615" s="5"/>
      <c r="N615" s="5"/>
      <c r="O615" s="5"/>
      <c r="P615" s="5"/>
      <c r="Q615" s="5"/>
      <c r="R615" s="5"/>
      <c r="S615" s="5"/>
      <c r="T615" s="5"/>
      <c r="U615" s="5"/>
      <c r="V615" s="5"/>
      <c r="W615" s="5"/>
    </row>
    <row r="616" spans="1:23" ht="16" x14ac:dyDescent="0.2">
      <c r="A616" s="5"/>
      <c r="B616" s="6"/>
      <c r="C616" s="6"/>
      <c r="D616" s="6"/>
      <c r="E616" s="6"/>
      <c r="F616" s="5"/>
      <c r="G616" s="5"/>
      <c r="H616" s="5"/>
      <c r="I616" s="5"/>
      <c r="J616" s="5"/>
      <c r="K616" s="5"/>
      <c r="L616" s="5"/>
      <c r="M616" s="5"/>
      <c r="N616" s="5"/>
      <c r="O616" s="5"/>
      <c r="P616" s="5"/>
      <c r="Q616" s="5"/>
      <c r="R616" s="5"/>
      <c r="S616" s="5"/>
      <c r="T616" s="5"/>
      <c r="U616" s="5"/>
      <c r="V616" s="5"/>
      <c r="W616" s="5"/>
    </row>
    <row r="617" spans="1:23" ht="16" x14ac:dyDescent="0.2">
      <c r="A617" s="5"/>
      <c r="B617" s="6"/>
      <c r="C617" s="6"/>
      <c r="D617" s="6"/>
      <c r="E617" s="6"/>
      <c r="F617" s="5"/>
      <c r="G617" s="5"/>
      <c r="H617" s="5"/>
      <c r="I617" s="5"/>
      <c r="J617" s="5"/>
      <c r="K617" s="5"/>
      <c r="L617" s="5"/>
      <c r="M617" s="5"/>
      <c r="N617" s="5"/>
      <c r="O617" s="5"/>
      <c r="P617" s="5"/>
      <c r="Q617" s="5"/>
      <c r="R617" s="5"/>
      <c r="S617" s="5"/>
      <c r="T617" s="5"/>
      <c r="U617" s="5"/>
      <c r="V617" s="5"/>
      <c r="W617" s="5"/>
    </row>
    <row r="618" spans="1:23" ht="16" x14ac:dyDescent="0.2">
      <c r="A618" s="5"/>
      <c r="B618" s="6"/>
      <c r="C618" s="6"/>
      <c r="D618" s="6"/>
      <c r="E618" s="6"/>
      <c r="F618" s="5"/>
      <c r="G618" s="5"/>
      <c r="H618" s="5"/>
      <c r="I618" s="5"/>
      <c r="J618" s="5"/>
      <c r="K618" s="5"/>
      <c r="L618" s="5"/>
      <c r="M618" s="5"/>
      <c r="N618" s="5"/>
      <c r="O618" s="5"/>
      <c r="P618" s="5"/>
      <c r="Q618" s="5"/>
      <c r="R618" s="5"/>
      <c r="S618" s="5"/>
      <c r="T618" s="5"/>
      <c r="U618" s="5"/>
      <c r="V618" s="5"/>
      <c r="W618" s="5"/>
    </row>
    <row r="619" spans="1:23" ht="16" x14ac:dyDescent="0.2">
      <c r="A619" s="5"/>
      <c r="B619" s="6"/>
      <c r="C619" s="6"/>
      <c r="D619" s="6"/>
      <c r="E619" s="6"/>
      <c r="F619" s="5"/>
      <c r="G619" s="5"/>
      <c r="H619" s="5"/>
      <c r="I619" s="5"/>
      <c r="J619" s="5"/>
      <c r="K619" s="5"/>
      <c r="L619" s="5"/>
      <c r="M619" s="5"/>
      <c r="N619" s="5"/>
      <c r="O619" s="5"/>
      <c r="P619" s="5"/>
      <c r="Q619" s="5"/>
      <c r="R619" s="5"/>
      <c r="S619" s="5"/>
      <c r="T619" s="5"/>
      <c r="U619" s="5"/>
      <c r="V619" s="5"/>
      <c r="W619" s="5"/>
    </row>
    <row r="620" spans="1:23" ht="16" x14ac:dyDescent="0.2">
      <c r="A620" s="5"/>
      <c r="B620" s="6"/>
      <c r="C620" s="6"/>
      <c r="D620" s="6"/>
      <c r="E620" s="6"/>
      <c r="F620" s="5"/>
      <c r="G620" s="5"/>
      <c r="H620" s="5"/>
      <c r="I620" s="5"/>
      <c r="J620" s="5"/>
      <c r="K620" s="5"/>
      <c r="L620" s="5"/>
      <c r="M620" s="5"/>
      <c r="N620" s="5"/>
      <c r="O620" s="5"/>
      <c r="P620" s="5"/>
      <c r="Q620" s="5"/>
      <c r="R620" s="5"/>
      <c r="S620" s="5"/>
      <c r="T620" s="5"/>
      <c r="U620" s="5"/>
      <c r="V620" s="5"/>
      <c r="W620" s="5"/>
    </row>
    <row r="621" spans="1:23" ht="16" x14ac:dyDescent="0.2">
      <c r="A621" s="5"/>
      <c r="B621" s="6"/>
      <c r="C621" s="6"/>
      <c r="D621" s="6"/>
      <c r="E621" s="6"/>
      <c r="F621" s="5"/>
      <c r="G621" s="5"/>
      <c r="H621" s="5"/>
      <c r="I621" s="5"/>
      <c r="J621" s="5"/>
      <c r="K621" s="5"/>
      <c r="L621" s="5"/>
      <c r="M621" s="5"/>
      <c r="N621" s="5"/>
      <c r="O621" s="5"/>
      <c r="P621" s="5"/>
      <c r="Q621" s="5"/>
      <c r="R621" s="5"/>
      <c r="S621" s="5"/>
      <c r="T621" s="5"/>
      <c r="U621" s="5"/>
      <c r="V621" s="5"/>
      <c r="W621" s="5"/>
    </row>
    <row r="622" spans="1:23" ht="16" x14ac:dyDescent="0.2">
      <c r="A622" s="5"/>
      <c r="B622" s="6"/>
      <c r="C622" s="6"/>
      <c r="D622" s="6"/>
      <c r="E622" s="6"/>
      <c r="F622" s="5"/>
      <c r="G622" s="5"/>
      <c r="H622" s="5"/>
      <c r="I622" s="5"/>
      <c r="J622" s="5"/>
      <c r="K622" s="5"/>
      <c r="L622" s="5"/>
      <c r="M622" s="5"/>
      <c r="N622" s="5"/>
      <c r="O622" s="5"/>
      <c r="P622" s="5"/>
      <c r="Q622" s="5"/>
      <c r="R622" s="5"/>
      <c r="S622" s="5"/>
      <c r="T622" s="5"/>
      <c r="U622" s="5"/>
      <c r="V622" s="5"/>
      <c r="W622" s="5"/>
    </row>
    <row r="623" spans="1:23" ht="16" x14ac:dyDescent="0.2">
      <c r="A623" s="5"/>
      <c r="B623" s="6"/>
      <c r="C623" s="6"/>
      <c r="D623" s="6"/>
      <c r="E623" s="6"/>
      <c r="F623" s="5"/>
      <c r="G623" s="5"/>
      <c r="H623" s="5"/>
      <c r="I623" s="5"/>
      <c r="J623" s="5"/>
      <c r="K623" s="5"/>
      <c r="L623" s="5"/>
      <c r="M623" s="5"/>
      <c r="N623" s="5"/>
      <c r="O623" s="5"/>
      <c r="P623" s="5"/>
      <c r="Q623" s="5"/>
      <c r="R623" s="5"/>
      <c r="S623" s="5"/>
      <c r="T623" s="5"/>
      <c r="U623" s="5"/>
      <c r="V623" s="5"/>
      <c r="W623" s="5"/>
    </row>
    <row r="624" spans="1:23" ht="16" x14ac:dyDescent="0.2">
      <c r="A624" s="5"/>
      <c r="B624" s="6"/>
      <c r="C624" s="6"/>
      <c r="D624" s="6"/>
      <c r="E624" s="6"/>
      <c r="F624" s="5"/>
      <c r="G624" s="5"/>
      <c r="H624" s="5"/>
      <c r="I624" s="5"/>
      <c r="J624" s="5"/>
      <c r="K624" s="5"/>
      <c r="L624" s="5"/>
      <c r="M624" s="5"/>
      <c r="N624" s="5"/>
      <c r="O624" s="5"/>
      <c r="P624" s="5"/>
      <c r="Q624" s="5"/>
      <c r="R624" s="5"/>
      <c r="S624" s="5"/>
      <c r="T624" s="5"/>
      <c r="U624" s="5"/>
      <c r="V624" s="5"/>
      <c r="W624" s="5"/>
    </row>
    <row r="625" spans="1:23" ht="16" x14ac:dyDescent="0.2">
      <c r="A625" s="5"/>
      <c r="B625" s="6"/>
      <c r="C625" s="6"/>
      <c r="D625" s="6"/>
      <c r="E625" s="6"/>
      <c r="F625" s="5"/>
      <c r="G625" s="5"/>
      <c r="H625" s="5"/>
      <c r="I625" s="5"/>
      <c r="J625" s="5"/>
      <c r="K625" s="5"/>
      <c r="L625" s="5"/>
      <c r="M625" s="5"/>
      <c r="N625" s="5"/>
      <c r="O625" s="5"/>
      <c r="P625" s="5"/>
      <c r="Q625" s="5"/>
      <c r="R625" s="5"/>
      <c r="S625" s="5"/>
      <c r="T625" s="5"/>
      <c r="U625" s="5"/>
      <c r="V625" s="5"/>
      <c r="W625" s="5"/>
    </row>
    <row r="626" spans="1:23" ht="16" x14ac:dyDescent="0.2">
      <c r="A626" s="5"/>
      <c r="B626" s="6"/>
      <c r="C626" s="6"/>
      <c r="D626" s="6"/>
      <c r="E626" s="6"/>
      <c r="F626" s="5"/>
      <c r="G626" s="5"/>
      <c r="H626" s="5"/>
      <c r="I626" s="5"/>
      <c r="J626" s="5"/>
      <c r="K626" s="5"/>
      <c r="L626" s="5"/>
      <c r="M626" s="5"/>
      <c r="N626" s="5"/>
      <c r="O626" s="5"/>
      <c r="P626" s="5"/>
      <c r="Q626" s="5"/>
      <c r="R626" s="5"/>
      <c r="S626" s="5"/>
      <c r="T626" s="5"/>
      <c r="U626" s="5"/>
      <c r="V626" s="5"/>
      <c r="W626" s="5"/>
    </row>
    <row r="627" spans="1:23" ht="16" x14ac:dyDescent="0.2">
      <c r="A627" s="5"/>
      <c r="B627" s="6"/>
      <c r="C627" s="6"/>
      <c r="D627" s="6"/>
      <c r="E627" s="6"/>
      <c r="F627" s="5"/>
      <c r="G627" s="5"/>
      <c r="H627" s="5"/>
      <c r="I627" s="5"/>
      <c r="J627" s="5"/>
      <c r="K627" s="5"/>
      <c r="L627" s="5"/>
      <c r="M627" s="5"/>
      <c r="N627" s="5"/>
      <c r="O627" s="5"/>
      <c r="P627" s="5"/>
      <c r="Q627" s="5"/>
      <c r="R627" s="5"/>
      <c r="S627" s="5"/>
      <c r="T627" s="5"/>
      <c r="U627" s="5"/>
      <c r="V627" s="5"/>
      <c r="W627" s="5"/>
    </row>
    <row r="628" spans="1:23" ht="16" x14ac:dyDescent="0.2">
      <c r="A628" s="5"/>
      <c r="B628" s="6"/>
      <c r="C628" s="6"/>
      <c r="D628" s="6"/>
      <c r="E628" s="6"/>
      <c r="F628" s="5"/>
      <c r="G628" s="5"/>
      <c r="H628" s="5"/>
      <c r="I628" s="5"/>
      <c r="J628" s="5"/>
      <c r="K628" s="5"/>
      <c r="L628" s="5"/>
      <c r="M628" s="5"/>
      <c r="N628" s="5"/>
      <c r="O628" s="5"/>
      <c r="P628" s="5"/>
      <c r="Q628" s="5"/>
      <c r="R628" s="5"/>
      <c r="S628" s="5"/>
      <c r="T628" s="5"/>
      <c r="U628" s="5"/>
      <c r="V628" s="5"/>
      <c r="W628" s="5"/>
    </row>
    <row r="629" spans="1:23" ht="16" x14ac:dyDescent="0.2">
      <c r="A629" s="5"/>
      <c r="B629" s="6"/>
      <c r="C629" s="6"/>
      <c r="D629" s="6"/>
      <c r="E629" s="6"/>
      <c r="F629" s="5"/>
      <c r="G629" s="5"/>
      <c r="H629" s="5"/>
      <c r="I629" s="5"/>
      <c r="J629" s="5"/>
      <c r="K629" s="5"/>
      <c r="L629" s="5"/>
      <c r="M629" s="5"/>
      <c r="N629" s="5"/>
      <c r="O629" s="5"/>
      <c r="P629" s="5"/>
      <c r="Q629" s="5"/>
      <c r="R629" s="5"/>
      <c r="S629" s="5"/>
      <c r="T629" s="5"/>
      <c r="U629" s="5"/>
      <c r="V629" s="5"/>
      <c r="W629" s="5"/>
    </row>
    <row r="630" spans="1:23" ht="16" x14ac:dyDescent="0.2">
      <c r="A630" s="5"/>
      <c r="B630" s="6"/>
      <c r="C630" s="6"/>
      <c r="D630" s="6"/>
      <c r="E630" s="6"/>
      <c r="F630" s="5"/>
      <c r="G630" s="5"/>
      <c r="H630" s="5"/>
      <c r="I630" s="5"/>
      <c r="J630" s="5"/>
      <c r="K630" s="5"/>
      <c r="L630" s="5"/>
      <c r="M630" s="5"/>
      <c r="N630" s="5"/>
      <c r="O630" s="5"/>
      <c r="P630" s="5"/>
      <c r="Q630" s="5"/>
      <c r="R630" s="5"/>
      <c r="S630" s="5"/>
      <c r="T630" s="5"/>
      <c r="U630" s="5"/>
      <c r="V630" s="5"/>
      <c r="W630" s="5"/>
    </row>
    <row r="631" spans="1:23" ht="16" x14ac:dyDescent="0.2">
      <c r="A631" s="5"/>
      <c r="B631" s="6"/>
      <c r="C631" s="6"/>
      <c r="D631" s="6"/>
      <c r="E631" s="6"/>
      <c r="F631" s="5"/>
      <c r="G631" s="5"/>
      <c r="H631" s="5"/>
      <c r="I631" s="5"/>
      <c r="J631" s="5"/>
      <c r="K631" s="5"/>
      <c r="L631" s="5"/>
      <c r="M631" s="5"/>
      <c r="N631" s="5"/>
      <c r="O631" s="5"/>
      <c r="P631" s="5"/>
      <c r="Q631" s="5"/>
      <c r="R631" s="5"/>
      <c r="S631" s="5"/>
      <c r="T631" s="5"/>
      <c r="U631" s="5"/>
      <c r="V631" s="5"/>
      <c r="W631" s="5"/>
    </row>
    <row r="632" spans="1:23" ht="16" x14ac:dyDescent="0.2">
      <c r="A632" s="5"/>
      <c r="B632" s="6"/>
      <c r="C632" s="6"/>
      <c r="D632" s="6"/>
      <c r="E632" s="6"/>
      <c r="F632" s="5"/>
      <c r="G632" s="5"/>
      <c r="H632" s="5"/>
      <c r="I632" s="5"/>
      <c r="J632" s="5"/>
      <c r="K632" s="5"/>
      <c r="L632" s="5"/>
      <c r="M632" s="5"/>
      <c r="N632" s="5"/>
      <c r="O632" s="5"/>
      <c r="P632" s="5"/>
      <c r="Q632" s="5"/>
      <c r="R632" s="5"/>
      <c r="S632" s="5"/>
      <c r="T632" s="5"/>
      <c r="U632" s="5"/>
      <c r="V632" s="5"/>
      <c r="W632" s="5"/>
    </row>
    <row r="633" spans="1:23" ht="16" x14ac:dyDescent="0.2">
      <c r="A633" s="5"/>
      <c r="B633" s="6"/>
      <c r="C633" s="6"/>
      <c r="D633" s="6"/>
      <c r="E633" s="6"/>
      <c r="F633" s="5"/>
      <c r="G633" s="5"/>
      <c r="H633" s="5"/>
      <c r="I633" s="5"/>
      <c r="J633" s="5"/>
      <c r="K633" s="5"/>
      <c r="L633" s="5"/>
      <c r="M633" s="5"/>
      <c r="N633" s="5"/>
      <c r="O633" s="5"/>
      <c r="P633" s="5"/>
      <c r="Q633" s="5"/>
      <c r="R633" s="5"/>
      <c r="S633" s="5"/>
      <c r="T633" s="5"/>
      <c r="U633" s="5"/>
      <c r="V633" s="5"/>
      <c r="W633" s="5"/>
    </row>
    <row r="634" spans="1:23" ht="16" x14ac:dyDescent="0.2">
      <c r="A634" s="5"/>
      <c r="B634" s="6"/>
      <c r="C634" s="6"/>
      <c r="D634" s="6"/>
      <c r="E634" s="6"/>
      <c r="F634" s="5"/>
      <c r="G634" s="5"/>
      <c r="H634" s="5"/>
      <c r="I634" s="5"/>
      <c r="J634" s="5"/>
      <c r="K634" s="5"/>
      <c r="L634" s="5"/>
      <c r="M634" s="5"/>
      <c r="N634" s="5"/>
      <c r="O634" s="5"/>
      <c r="P634" s="5"/>
      <c r="Q634" s="5"/>
      <c r="R634" s="5"/>
      <c r="S634" s="5"/>
      <c r="T634" s="5"/>
      <c r="U634" s="5"/>
      <c r="V634" s="5"/>
      <c r="W634" s="5"/>
    </row>
    <row r="635" spans="1:23" ht="16" x14ac:dyDescent="0.2">
      <c r="A635" s="5"/>
      <c r="B635" s="6"/>
      <c r="C635" s="6"/>
      <c r="D635" s="6"/>
      <c r="E635" s="6"/>
      <c r="F635" s="5"/>
      <c r="G635" s="5"/>
      <c r="H635" s="5"/>
      <c r="I635" s="5"/>
      <c r="J635" s="5"/>
      <c r="K635" s="5"/>
      <c r="L635" s="5"/>
      <c r="M635" s="5"/>
      <c r="N635" s="5"/>
      <c r="O635" s="5"/>
      <c r="P635" s="5"/>
      <c r="Q635" s="5"/>
      <c r="R635" s="5"/>
      <c r="S635" s="5"/>
      <c r="T635" s="5"/>
      <c r="U635" s="5"/>
      <c r="V635" s="5"/>
      <c r="W635" s="5"/>
    </row>
    <row r="636" spans="1:23" ht="16" x14ac:dyDescent="0.2">
      <c r="A636" s="5"/>
      <c r="B636" s="6"/>
      <c r="C636" s="6"/>
      <c r="D636" s="6"/>
      <c r="E636" s="6"/>
      <c r="F636" s="5"/>
      <c r="G636" s="5"/>
      <c r="H636" s="5"/>
      <c r="I636" s="5"/>
      <c r="J636" s="5"/>
      <c r="K636" s="5"/>
      <c r="L636" s="5"/>
      <c r="M636" s="5"/>
      <c r="N636" s="5"/>
      <c r="O636" s="5"/>
      <c r="P636" s="5"/>
      <c r="Q636" s="5"/>
      <c r="R636" s="5"/>
      <c r="S636" s="5"/>
      <c r="T636" s="5"/>
      <c r="U636" s="5"/>
      <c r="V636" s="5"/>
      <c r="W636" s="5"/>
    </row>
    <row r="637" spans="1:23" ht="16" x14ac:dyDescent="0.2">
      <c r="A637" s="5"/>
      <c r="B637" s="6"/>
      <c r="C637" s="6"/>
      <c r="D637" s="6"/>
      <c r="E637" s="6"/>
      <c r="F637" s="5"/>
      <c r="G637" s="5"/>
      <c r="H637" s="5"/>
      <c r="I637" s="5"/>
      <c r="J637" s="5"/>
      <c r="K637" s="5"/>
      <c r="L637" s="5"/>
      <c r="M637" s="5"/>
      <c r="N637" s="5"/>
      <c r="O637" s="5"/>
      <c r="P637" s="5"/>
      <c r="Q637" s="5"/>
      <c r="R637" s="5"/>
      <c r="S637" s="5"/>
      <c r="T637" s="5"/>
      <c r="U637" s="5"/>
      <c r="V637" s="5"/>
      <c r="W637" s="5"/>
    </row>
    <row r="638" spans="1:23" ht="16" x14ac:dyDescent="0.2">
      <c r="A638" s="5"/>
      <c r="B638" s="6"/>
      <c r="C638" s="6"/>
      <c r="D638" s="6"/>
      <c r="E638" s="6"/>
      <c r="F638" s="5"/>
      <c r="G638" s="5"/>
      <c r="H638" s="5"/>
      <c r="I638" s="5"/>
      <c r="J638" s="5"/>
      <c r="K638" s="5"/>
      <c r="L638" s="5"/>
      <c r="M638" s="5"/>
      <c r="N638" s="5"/>
      <c r="O638" s="5"/>
      <c r="P638" s="5"/>
      <c r="Q638" s="5"/>
      <c r="R638" s="5"/>
      <c r="S638" s="5"/>
      <c r="T638" s="5"/>
      <c r="U638" s="5"/>
      <c r="V638" s="5"/>
      <c r="W638" s="5"/>
    </row>
    <row r="639" spans="1:23" ht="16" x14ac:dyDescent="0.2">
      <c r="A639" s="5"/>
      <c r="B639" s="6"/>
      <c r="C639" s="6"/>
      <c r="D639" s="6"/>
      <c r="E639" s="6"/>
      <c r="F639" s="5"/>
      <c r="G639" s="5"/>
      <c r="H639" s="5"/>
      <c r="I639" s="5"/>
      <c r="J639" s="5"/>
      <c r="K639" s="5"/>
      <c r="L639" s="5"/>
      <c r="M639" s="5"/>
      <c r="N639" s="5"/>
      <c r="O639" s="5"/>
      <c r="P639" s="5"/>
      <c r="Q639" s="5"/>
      <c r="R639" s="5"/>
      <c r="S639" s="5"/>
      <c r="T639" s="5"/>
      <c r="U639" s="5"/>
      <c r="V639" s="5"/>
      <c r="W639" s="5"/>
    </row>
    <row r="640" spans="1:23" ht="16" x14ac:dyDescent="0.2">
      <c r="A640" s="5"/>
      <c r="B640" s="6"/>
      <c r="C640" s="6"/>
      <c r="D640" s="6"/>
      <c r="E640" s="6"/>
      <c r="F640" s="5"/>
      <c r="G640" s="5"/>
      <c r="H640" s="5"/>
      <c r="I640" s="5"/>
      <c r="J640" s="5"/>
      <c r="K640" s="5"/>
      <c r="L640" s="5"/>
      <c r="M640" s="5"/>
      <c r="N640" s="5"/>
      <c r="O640" s="5"/>
      <c r="P640" s="5"/>
      <c r="Q640" s="5"/>
      <c r="R640" s="5"/>
      <c r="S640" s="5"/>
      <c r="T640" s="5"/>
      <c r="U640" s="5"/>
      <c r="V640" s="5"/>
      <c r="W640" s="5"/>
    </row>
    <row r="641" spans="1:23" ht="16" x14ac:dyDescent="0.2">
      <c r="A641" s="5"/>
      <c r="B641" s="6"/>
      <c r="C641" s="6"/>
      <c r="D641" s="6"/>
      <c r="E641" s="6"/>
      <c r="F641" s="5"/>
      <c r="G641" s="5"/>
      <c r="H641" s="5"/>
      <c r="I641" s="5"/>
      <c r="J641" s="5"/>
      <c r="K641" s="5"/>
      <c r="L641" s="5"/>
      <c r="M641" s="5"/>
      <c r="N641" s="5"/>
      <c r="O641" s="5"/>
      <c r="P641" s="5"/>
      <c r="Q641" s="5"/>
      <c r="R641" s="5"/>
      <c r="S641" s="5"/>
      <c r="T641" s="5"/>
      <c r="U641" s="5"/>
      <c r="V641" s="5"/>
      <c r="W641" s="5"/>
    </row>
    <row r="642" spans="1:23" ht="16" x14ac:dyDescent="0.2">
      <c r="A642" s="5"/>
      <c r="B642" s="6"/>
      <c r="C642" s="6"/>
      <c r="D642" s="6"/>
      <c r="E642" s="6"/>
      <c r="F642" s="5"/>
      <c r="G642" s="5"/>
      <c r="H642" s="5"/>
      <c r="I642" s="5"/>
      <c r="J642" s="5"/>
      <c r="K642" s="5"/>
      <c r="L642" s="5"/>
      <c r="M642" s="5"/>
      <c r="N642" s="5"/>
      <c r="O642" s="5"/>
      <c r="P642" s="5"/>
      <c r="Q642" s="5"/>
      <c r="R642" s="5"/>
      <c r="S642" s="5"/>
      <c r="T642" s="5"/>
      <c r="U642" s="5"/>
      <c r="V642" s="5"/>
      <c r="W642" s="5"/>
    </row>
    <row r="643" spans="1:23" ht="16" x14ac:dyDescent="0.2">
      <c r="A643" s="5"/>
      <c r="B643" s="6"/>
      <c r="C643" s="6"/>
      <c r="D643" s="6"/>
      <c r="E643" s="6"/>
      <c r="F643" s="5"/>
      <c r="G643" s="5"/>
      <c r="H643" s="5"/>
      <c r="I643" s="5"/>
      <c r="J643" s="5"/>
      <c r="K643" s="5"/>
      <c r="L643" s="5"/>
      <c r="M643" s="5"/>
      <c r="N643" s="5"/>
      <c r="O643" s="5"/>
      <c r="P643" s="5"/>
      <c r="Q643" s="5"/>
      <c r="R643" s="5"/>
      <c r="S643" s="5"/>
      <c r="T643" s="5"/>
      <c r="U643" s="5"/>
      <c r="V643" s="5"/>
      <c r="W643" s="5"/>
    </row>
    <row r="644" spans="1:23" ht="16" x14ac:dyDescent="0.2">
      <c r="A644" s="5"/>
      <c r="B644" s="6"/>
      <c r="C644" s="6"/>
      <c r="D644" s="6"/>
      <c r="E644" s="6"/>
      <c r="F644" s="5"/>
      <c r="G644" s="5"/>
      <c r="H644" s="5"/>
      <c r="I644" s="5"/>
      <c r="J644" s="5"/>
      <c r="K644" s="5"/>
      <c r="L644" s="5"/>
      <c r="M644" s="5"/>
      <c r="N644" s="5"/>
      <c r="O644" s="5"/>
      <c r="P644" s="5"/>
      <c r="Q644" s="5"/>
      <c r="R644" s="5"/>
      <c r="S644" s="5"/>
      <c r="T644" s="5"/>
      <c r="U644" s="5"/>
      <c r="V644" s="5"/>
      <c r="W644" s="5"/>
    </row>
    <row r="645" spans="1:23" ht="16" x14ac:dyDescent="0.2">
      <c r="A645" s="5"/>
      <c r="B645" s="6"/>
      <c r="C645" s="6"/>
      <c r="D645" s="6"/>
      <c r="E645" s="6"/>
      <c r="F645" s="5"/>
      <c r="G645" s="5"/>
      <c r="H645" s="5"/>
      <c r="I645" s="5"/>
      <c r="J645" s="5"/>
      <c r="K645" s="5"/>
      <c r="L645" s="5"/>
      <c r="M645" s="5"/>
      <c r="N645" s="5"/>
      <c r="O645" s="5"/>
      <c r="P645" s="5"/>
      <c r="Q645" s="5"/>
      <c r="R645" s="5"/>
      <c r="S645" s="5"/>
      <c r="T645" s="5"/>
      <c r="U645" s="5"/>
      <c r="V645" s="5"/>
      <c r="W645" s="5"/>
    </row>
    <row r="646" spans="1:23" ht="16" x14ac:dyDescent="0.2">
      <c r="A646" s="5"/>
      <c r="B646" s="6"/>
      <c r="C646" s="6"/>
      <c r="D646" s="6"/>
      <c r="E646" s="6"/>
      <c r="F646" s="5"/>
      <c r="G646" s="5"/>
      <c r="H646" s="5"/>
      <c r="I646" s="5"/>
      <c r="J646" s="5"/>
      <c r="K646" s="5"/>
      <c r="L646" s="5"/>
      <c r="M646" s="5"/>
      <c r="N646" s="5"/>
      <c r="O646" s="5"/>
      <c r="P646" s="5"/>
      <c r="Q646" s="5"/>
      <c r="R646" s="5"/>
      <c r="S646" s="5"/>
      <c r="T646" s="5"/>
      <c r="U646" s="5"/>
      <c r="V646" s="5"/>
      <c r="W646" s="5"/>
    </row>
    <row r="647" spans="1:23" ht="16" x14ac:dyDescent="0.2">
      <c r="A647" s="5"/>
      <c r="B647" s="6"/>
      <c r="C647" s="6"/>
      <c r="D647" s="6"/>
      <c r="E647" s="6"/>
      <c r="F647" s="5"/>
      <c r="G647" s="5"/>
      <c r="H647" s="5"/>
      <c r="I647" s="5"/>
      <c r="J647" s="5"/>
      <c r="K647" s="5"/>
      <c r="L647" s="5"/>
      <c r="M647" s="5"/>
      <c r="N647" s="5"/>
      <c r="O647" s="5"/>
      <c r="P647" s="5"/>
      <c r="Q647" s="5"/>
      <c r="R647" s="5"/>
      <c r="S647" s="5"/>
      <c r="T647" s="5"/>
      <c r="U647" s="5"/>
      <c r="V647" s="5"/>
      <c r="W647" s="5"/>
    </row>
    <row r="648" spans="1:23" ht="16" x14ac:dyDescent="0.2">
      <c r="A648" s="5"/>
      <c r="B648" s="6"/>
      <c r="C648" s="6"/>
      <c r="D648" s="6"/>
      <c r="E648" s="6"/>
      <c r="F648" s="5"/>
      <c r="G648" s="5"/>
      <c r="H648" s="5"/>
      <c r="I648" s="5"/>
      <c r="J648" s="5"/>
      <c r="K648" s="5"/>
      <c r="L648" s="5"/>
      <c r="M648" s="5"/>
      <c r="N648" s="5"/>
      <c r="O648" s="5"/>
      <c r="P648" s="5"/>
      <c r="Q648" s="5"/>
      <c r="R648" s="5"/>
      <c r="S648" s="5"/>
      <c r="T648" s="5"/>
      <c r="U648" s="5"/>
      <c r="V648" s="5"/>
      <c r="W648" s="5"/>
    </row>
    <row r="649" spans="1:23" ht="16" x14ac:dyDescent="0.2">
      <c r="A649" s="5"/>
      <c r="B649" s="6"/>
      <c r="C649" s="6"/>
      <c r="D649" s="6"/>
      <c r="E649" s="6"/>
      <c r="F649" s="5"/>
      <c r="G649" s="5"/>
      <c r="H649" s="5"/>
      <c r="I649" s="5"/>
      <c r="J649" s="5"/>
      <c r="K649" s="5"/>
      <c r="L649" s="5"/>
      <c r="M649" s="5"/>
      <c r="N649" s="5"/>
      <c r="O649" s="5"/>
      <c r="P649" s="5"/>
      <c r="Q649" s="5"/>
      <c r="R649" s="5"/>
      <c r="S649" s="5"/>
      <c r="T649" s="5"/>
      <c r="U649" s="5"/>
      <c r="V649" s="5"/>
      <c r="W649" s="5"/>
    </row>
    <row r="650" spans="1:23" ht="16" x14ac:dyDescent="0.2">
      <c r="A650" s="5"/>
      <c r="B650" s="6"/>
      <c r="C650" s="6"/>
      <c r="D650" s="6"/>
      <c r="E650" s="6"/>
      <c r="F650" s="5"/>
      <c r="G650" s="5"/>
      <c r="H650" s="5"/>
      <c r="I650" s="5"/>
      <c r="J650" s="5"/>
      <c r="K650" s="5"/>
      <c r="L650" s="5"/>
      <c r="M650" s="5"/>
      <c r="N650" s="5"/>
      <c r="O650" s="5"/>
      <c r="P650" s="5"/>
      <c r="Q650" s="5"/>
      <c r="R650" s="5"/>
      <c r="S650" s="5"/>
      <c r="T650" s="5"/>
      <c r="U650" s="5"/>
      <c r="V650" s="5"/>
      <c r="W650" s="5"/>
    </row>
    <row r="651" spans="1:23" ht="16" x14ac:dyDescent="0.2">
      <c r="A651" s="5"/>
      <c r="B651" s="6"/>
      <c r="C651" s="6"/>
      <c r="D651" s="6"/>
      <c r="E651" s="6"/>
      <c r="F651" s="5"/>
      <c r="G651" s="5"/>
      <c r="H651" s="5"/>
      <c r="I651" s="5"/>
      <c r="J651" s="5"/>
      <c r="K651" s="5"/>
      <c r="L651" s="5"/>
      <c r="M651" s="5"/>
      <c r="N651" s="5"/>
      <c r="O651" s="5"/>
      <c r="P651" s="5"/>
      <c r="Q651" s="5"/>
      <c r="R651" s="5"/>
      <c r="S651" s="5"/>
      <c r="T651" s="5"/>
      <c r="U651" s="5"/>
      <c r="V651" s="5"/>
      <c r="W651" s="5"/>
    </row>
    <row r="652" spans="1:23" ht="16" x14ac:dyDescent="0.2">
      <c r="A652" s="5"/>
      <c r="B652" s="6"/>
      <c r="C652" s="6"/>
      <c r="D652" s="6"/>
      <c r="E652" s="6"/>
      <c r="F652" s="5"/>
      <c r="G652" s="5"/>
      <c r="H652" s="5"/>
      <c r="I652" s="5"/>
      <c r="J652" s="5"/>
      <c r="K652" s="5"/>
      <c r="L652" s="5"/>
      <c r="M652" s="5"/>
      <c r="N652" s="5"/>
      <c r="O652" s="5"/>
      <c r="P652" s="5"/>
      <c r="Q652" s="5"/>
      <c r="R652" s="5"/>
      <c r="S652" s="5"/>
      <c r="T652" s="5"/>
      <c r="U652" s="5"/>
      <c r="V652" s="5"/>
      <c r="W652" s="5"/>
    </row>
    <row r="653" spans="1:23" ht="16" x14ac:dyDescent="0.2">
      <c r="A653" s="5"/>
      <c r="B653" s="6"/>
      <c r="C653" s="6"/>
      <c r="D653" s="6"/>
      <c r="E653" s="6"/>
      <c r="F653" s="5"/>
      <c r="G653" s="5"/>
      <c r="H653" s="5"/>
      <c r="I653" s="5"/>
      <c r="J653" s="5"/>
      <c r="K653" s="5"/>
      <c r="L653" s="5"/>
      <c r="M653" s="5"/>
      <c r="N653" s="5"/>
      <c r="O653" s="5"/>
      <c r="P653" s="5"/>
      <c r="Q653" s="5"/>
      <c r="R653" s="5"/>
      <c r="S653" s="5"/>
      <c r="T653" s="5"/>
      <c r="U653" s="5"/>
      <c r="V653" s="5"/>
      <c r="W653" s="5"/>
    </row>
    <row r="654" spans="1:23" ht="16" x14ac:dyDescent="0.2">
      <c r="A654" s="5"/>
      <c r="B654" s="6"/>
      <c r="C654" s="6"/>
      <c r="D654" s="6"/>
      <c r="E654" s="6"/>
      <c r="F654" s="5"/>
      <c r="G654" s="5"/>
      <c r="H654" s="5"/>
      <c r="I654" s="5"/>
      <c r="J654" s="5"/>
      <c r="K654" s="5"/>
      <c r="L654" s="5"/>
      <c r="M654" s="5"/>
      <c r="N654" s="5"/>
      <c r="O654" s="5"/>
      <c r="P654" s="5"/>
      <c r="Q654" s="5"/>
      <c r="R654" s="5"/>
      <c r="S654" s="5"/>
      <c r="T654" s="5"/>
      <c r="U654" s="5"/>
      <c r="V654" s="5"/>
      <c r="W654" s="5"/>
    </row>
    <row r="655" spans="1:23" ht="16" x14ac:dyDescent="0.2">
      <c r="A655" s="5"/>
      <c r="B655" s="6"/>
      <c r="C655" s="6"/>
      <c r="D655" s="6"/>
      <c r="E655" s="6"/>
      <c r="F655" s="5"/>
      <c r="G655" s="5"/>
      <c r="H655" s="5"/>
      <c r="I655" s="5"/>
      <c r="J655" s="5"/>
      <c r="K655" s="5"/>
      <c r="L655" s="5"/>
      <c r="M655" s="5"/>
      <c r="N655" s="5"/>
      <c r="O655" s="5"/>
      <c r="P655" s="5"/>
      <c r="Q655" s="5"/>
      <c r="R655" s="5"/>
      <c r="S655" s="5"/>
      <c r="T655" s="5"/>
      <c r="U655" s="5"/>
      <c r="V655" s="5"/>
      <c r="W655" s="5"/>
    </row>
    <row r="656" spans="1:23" ht="16" x14ac:dyDescent="0.2">
      <c r="A656" s="5"/>
      <c r="B656" s="6"/>
      <c r="C656" s="6"/>
      <c r="D656" s="6"/>
      <c r="E656" s="6"/>
      <c r="F656" s="5"/>
      <c r="G656" s="5"/>
      <c r="H656" s="5"/>
      <c r="I656" s="5"/>
      <c r="J656" s="5"/>
      <c r="K656" s="5"/>
      <c r="L656" s="5"/>
      <c r="M656" s="5"/>
      <c r="N656" s="5"/>
      <c r="O656" s="5"/>
      <c r="P656" s="5"/>
      <c r="Q656" s="5"/>
      <c r="R656" s="5"/>
      <c r="S656" s="5"/>
      <c r="T656" s="5"/>
      <c r="U656" s="5"/>
      <c r="V656" s="5"/>
      <c r="W656" s="5"/>
    </row>
    <row r="657" spans="1:23" ht="16" x14ac:dyDescent="0.2">
      <c r="A657" s="5"/>
      <c r="B657" s="6"/>
      <c r="C657" s="6"/>
      <c r="D657" s="6"/>
      <c r="E657" s="6"/>
      <c r="F657" s="5"/>
      <c r="G657" s="5"/>
      <c r="H657" s="5"/>
      <c r="I657" s="5"/>
      <c r="J657" s="5"/>
      <c r="K657" s="5"/>
      <c r="L657" s="5"/>
      <c r="M657" s="5"/>
      <c r="N657" s="5"/>
      <c r="O657" s="5"/>
      <c r="P657" s="5"/>
      <c r="Q657" s="5"/>
      <c r="R657" s="5"/>
      <c r="S657" s="5"/>
      <c r="T657" s="5"/>
      <c r="U657" s="5"/>
      <c r="V657" s="5"/>
      <c r="W657" s="5"/>
    </row>
    <row r="658" spans="1:23" ht="16" x14ac:dyDescent="0.2">
      <c r="A658" s="5"/>
      <c r="B658" s="6"/>
      <c r="C658" s="6"/>
      <c r="D658" s="6"/>
      <c r="E658" s="6"/>
      <c r="F658" s="5"/>
      <c r="G658" s="5"/>
      <c r="H658" s="5"/>
      <c r="I658" s="5"/>
      <c r="J658" s="5"/>
      <c r="K658" s="5"/>
      <c r="L658" s="5"/>
      <c r="M658" s="5"/>
      <c r="N658" s="5"/>
      <c r="O658" s="5"/>
      <c r="P658" s="5"/>
      <c r="Q658" s="5"/>
      <c r="R658" s="5"/>
      <c r="S658" s="5"/>
      <c r="T658" s="5"/>
      <c r="U658" s="5"/>
      <c r="V658" s="5"/>
      <c r="W658" s="5"/>
    </row>
    <row r="659" spans="1:23" ht="16" x14ac:dyDescent="0.2">
      <c r="A659" s="5"/>
      <c r="B659" s="6"/>
      <c r="C659" s="6"/>
      <c r="D659" s="6"/>
      <c r="E659" s="6"/>
      <c r="F659" s="5"/>
      <c r="G659" s="5"/>
      <c r="H659" s="5"/>
      <c r="I659" s="5"/>
      <c r="J659" s="5"/>
      <c r="K659" s="5"/>
      <c r="L659" s="5"/>
      <c r="M659" s="5"/>
      <c r="N659" s="5"/>
      <c r="O659" s="5"/>
      <c r="P659" s="5"/>
      <c r="Q659" s="5"/>
      <c r="R659" s="5"/>
      <c r="S659" s="5"/>
      <c r="T659" s="5"/>
      <c r="U659" s="5"/>
      <c r="V659" s="5"/>
      <c r="W659" s="5"/>
    </row>
    <row r="660" spans="1:23" ht="16" x14ac:dyDescent="0.2">
      <c r="A660" s="5"/>
      <c r="B660" s="6"/>
      <c r="C660" s="6"/>
      <c r="D660" s="6"/>
      <c r="E660" s="6"/>
      <c r="F660" s="5"/>
      <c r="G660" s="5"/>
      <c r="H660" s="5"/>
      <c r="I660" s="5"/>
      <c r="J660" s="5"/>
      <c r="K660" s="5"/>
      <c r="L660" s="5"/>
      <c r="M660" s="5"/>
      <c r="N660" s="5"/>
      <c r="O660" s="5"/>
      <c r="P660" s="5"/>
      <c r="Q660" s="5"/>
      <c r="R660" s="5"/>
      <c r="S660" s="5"/>
      <c r="T660" s="5"/>
      <c r="U660" s="5"/>
      <c r="V660" s="5"/>
      <c r="W660" s="5"/>
    </row>
    <row r="661" spans="1:23" ht="16" x14ac:dyDescent="0.2">
      <c r="A661" s="5"/>
      <c r="B661" s="6"/>
      <c r="C661" s="6"/>
      <c r="D661" s="6"/>
      <c r="E661" s="6"/>
      <c r="F661" s="5"/>
      <c r="G661" s="5"/>
      <c r="H661" s="5"/>
      <c r="I661" s="5"/>
      <c r="J661" s="5"/>
      <c r="K661" s="5"/>
      <c r="L661" s="5"/>
      <c r="M661" s="5"/>
      <c r="N661" s="5"/>
      <c r="O661" s="5"/>
      <c r="P661" s="5"/>
      <c r="Q661" s="5"/>
      <c r="R661" s="5"/>
      <c r="S661" s="5"/>
      <c r="T661" s="5"/>
      <c r="U661" s="5"/>
      <c r="V661" s="5"/>
      <c r="W661" s="5"/>
    </row>
    <row r="662" spans="1:23" ht="16" x14ac:dyDescent="0.2">
      <c r="A662" s="5"/>
      <c r="B662" s="6"/>
      <c r="C662" s="6"/>
      <c r="D662" s="6"/>
      <c r="E662" s="6"/>
      <c r="F662" s="5"/>
      <c r="G662" s="5"/>
      <c r="H662" s="5"/>
      <c r="I662" s="5"/>
      <c r="J662" s="5"/>
      <c r="K662" s="5"/>
      <c r="L662" s="5"/>
      <c r="M662" s="5"/>
      <c r="N662" s="5"/>
      <c r="O662" s="5"/>
      <c r="P662" s="5"/>
      <c r="Q662" s="5"/>
      <c r="R662" s="5"/>
      <c r="S662" s="5"/>
      <c r="T662" s="5"/>
      <c r="U662" s="5"/>
      <c r="V662" s="5"/>
      <c r="W662" s="5"/>
    </row>
    <row r="663" spans="1:23" ht="16" x14ac:dyDescent="0.2">
      <c r="A663" s="5"/>
      <c r="B663" s="6"/>
      <c r="C663" s="6"/>
      <c r="D663" s="6"/>
      <c r="E663" s="6"/>
      <c r="F663" s="5"/>
      <c r="G663" s="5"/>
      <c r="H663" s="5"/>
      <c r="I663" s="5"/>
      <c r="J663" s="5"/>
      <c r="K663" s="5"/>
      <c r="L663" s="5"/>
      <c r="M663" s="5"/>
      <c r="N663" s="5"/>
      <c r="O663" s="5"/>
      <c r="P663" s="5"/>
      <c r="Q663" s="5"/>
      <c r="R663" s="5"/>
      <c r="S663" s="5"/>
      <c r="T663" s="5"/>
      <c r="U663" s="5"/>
      <c r="V663" s="5"/>
      <c r="W663" s="5"/>
    </row>
    <row r="664" spans="1:23" ht="16" x14ac:dyDescent="0.2">
      <c r="A664" s="5"/>
      <c r="B664" s="6"/>
      <c r="C664" s="6"/>
      <c r="D664" s="6"/>
      <c r="E664" s="6"/>
      <c r="F664" s="5"/>
      <c r="G664" s="5"/>
      <c r="H664" s="5"/>
      <c r="I664" s="5"/>
      <c r="J664" s="5"/>
      <c r="K664" s="5"/>
      <c r="L664" s="5"/>
      <c r="M664" s="5"/>
      <c r="N664" s="5"/>
      <c r="O664" s="5"/>
      <c r="P664" s="5"/>
      <c r="Q664" s="5"/>
      <c r="R664" s="5"/>
      <c r="S664" s="5"/>
      <c r="T664" s="5"/>
      <c r="U664" s="5"/>
      <c r="V664" s="5"/>
      <c r="W664" s="5"/>
    </row>
    <row r="665" spans="1:23" ht="16" x14ac:dyDescent="0.2">
      <c r="A665" s="5"/>
      <c r="B665" s="6"/>
      <c r="C665" s="6"/>
      <c r="D665" s="6"/>
      <c r="E665" s="6"/>
      <c r="F665" s="5"/>
      <c r="G665" s="5"/>
      <c r="H665" s="5"/>
      <c r="I665" s="5"/>
      <c r="J665" s="5"/>
      <c r="K665" s="5"/>
      <c r="L665" s="5"/>
      <c r="M665" s="5"/>
      <c r="N665" s="5"/>
      <c r="O665" s="5"/>
      <c r="P665" s="5"/>
      <c r="Q665" s="5"/>
      <c r="R665" s="5"/>
      <c r="S665" s="5"/>
      <c r="T665" s="5"/>
      <c r="U665" s="5"/>
      <c r="V665" s="5"/>
      <c r="W665" s="5"/>
    </row>
    <row r="666" spans="1:23" ht="16" x14ac:dyDescent="0.2">
      <c r="A666" s="5"/>
      <c r="B666" s="6"/>
      <c r="C666" s="6"/>
      <c r="D666" s="6"/>
      <c r="E666" s="6"/>
      <c r="F666" s="5"/>
      <c r="G666" s="5"/>
      <c r="H666" s="5"/>
      <c r="I666" s="5"/>
      <c r="J666" s="5"/>
      <c r="K666" s="5"/>
      <c r="L666" s="5"/>
      <c r="M666" s="5"/>
      <c r="N666" s="5"/>
      <c r="O666" s="5"/>
      <c r="P666" s="5"/>
      <c r="Q666" s="5"/>
      <c r="R666" s="5"/>
      <c r="S666" s="5"/>
      <c r="T666" s="5"/>
      <c r="U666" s="5"/>
      <c r="V666" s="5"/>
      <c r="W666" s="5"/>
    </row>
    <row r="667" spans="1:23" ht="16" x14ac:dyDescent="0.2">
      <c r="A667" s="5"/>
      <c r="B667" s="6"/>
      <c r="C667" s="6"/>
      <c r="D667" s="6"/>
      <c r="E667" s="6"/>
      <c r="F667" s="5"/>
      <c r="G667" s="5"/>
      <c r="H667" s="5"/>
      <c r="I667" s="5"/>
      <c r="J667" s="5"/>
      <c r="K667" s="5"/>
      <c r="L667" s="5"/>
      <c r="M667" s="5"/>
      <c r="N667" s="5"/>
      <c r="O667" s="5"/>
      <c r="P667" s="5"/>
      <c r="Q667" s="5"/>
      <c r="R667" s="5"/>
      <c r="S667" s="5"/>
      <c r="T667" s="5"/>
      <c r="U667" s="5"/>
      <c r="V667" s="5"/>
      <c r="W667" s="5"/>
    </row>
    <row r="668" spans="1:23" ht="16" x14ac:dyDescent="0.2">
      <c r="A668" s="5"/>
      <c r="B668" s="6"/>
      <c r="C668" s="6"/>
      <c r="D668" s="6"/>
      <c r="E668" s="6"/>
      <c r="F668" s="5"/>
      <c r="G668" s="5"/>
      <c r="H668" s="5"/>
      <c r="I668" s="5"/>
      <c r="J668" s="5"/>
      <c r="K668" s="5"/>
      <c r="L668" s="5"/>
      <c r="M668" s="5"/>
      <c r="N668" s="5"/>
      <c r="O668" s="5"/>
      <c r="P668" s="5"/>
      <c r="Q668" s="5"/>
      <c r="R668" s="5"/>
      <c r="S668" s="5"/>
      <c r="T668" s="5"/>
      <c r="U668" s="5"/>
      <c r="V668" s="5"/>
      <c r="W668" s="5"/>
    </row>
    <row r="669" spans="1:23" ht="16" x14ac:dyDescent="0.2">
      <c r="A669" s="5"/>
      <c r="B669" s="6"/>
      <c r="C669" s="6"/>
      <c r="D669" s="6"/>
      <c r="E669" s="6"/>
      <c r="F669" s="5"/>
      <c r="G669" s="5"/>
      <c r="H669" s="5"/>
      <c r="I669" s="5"/>
      <c r="J669" s="5"/>
      <c r="K669" s="5"/>
      <c r="L669" s="5"/>
      <c r="M669" s="5"/>
      <c r="N669" s="5"/>
      <c r="O669" s="5"/>
      <c r="P669" s="5"/>
      <c r="Q669" s="5"/>
      <c r="R669" s="5"/>
      <c r="S669" s="5"/>
      <c r="T669" s="5"/>
      <c r="U669" s="5"/>
      <c r="V669" s="5"/>
      <c r="W669" s="5"/>
    </row>
    <row r="670" spans="1:23" ht="16" x14ac:dyDescent="0.2">
      <c r="A670" s="5"/>
      <c r="B670" s="6"/>
      <c r="C670" s="6"/>
      <c r="D670" s="6"/>
      <c r="E670" s="6"/>
      <c r="F670" s="5"/>
      <c r="G670" s="5"/>
      <c r="H670" s="5"/>
      <c r="I670" s="5"/>
      <c r="J670" s="5"/>
      <c r="K670" s="5"/>
      <c r="L670" s="5"/>
      <c r="M670" s="5"/>
      <c r="N670" s="5"/>
      <c r="O670" s="5"/>
      <c r="P670" s="5"/>
      <c r="Q670" s="5"/>
      <c r="R670" s="5"/>
      <c r="S670" s="5"/>
      <c r="T670" s="5"/>
      <c r="U670" s="5"/>
      <c r="V670" s="5"/>
      <c r="W670" s="5"/>
    </row>
    <row r="671" spans="1:23" ht="16" x14ac:dyDescent="0.2">
      <c r="A671" s="5"/>
      <c r="B671" s="6"/>
      <c r="C671" s="6"/>
      <c r="D671" s="6"/>
      <c r="E671" s="6"/>
      <c r="F671" s="5"/>
      <c r="G671" s="5"/>
      <c r="H671" s="5"/>
      <c r="I671" s="5"/>
      <c r="J671" s="5"/>
      <c r="K671" s="5"/>
      <c r="L671" s="5"/>
      <c r="M671" s="5"/>
      <c r="N671" s="5"/>
      <c r="O671" s="5"/>
      <c r="P671" s="5"/>
      <c r="Q671" s="5"/>
      <c r="R671" s="5"/>
      <c r="S671" s="5"/>
      <c r="T671" s="5"/>
      <c r="U671" s="5"/>
      <c r="V671" s="5"/>
      <c r="W671" s="5"/>
    </row>
    <row r="672" spans="1:23" ht="16" x14ac:dyDescent="0.2">
      <c r="A672" s="5"/>
      <c r="B672" s="6"/>
      <c r="C672" s="6"/>
      <c r="D672" s="6"/>
      <c r="E672" s="6"/>
      <c r="F672" s="5"/>
      <c r="G672" s="5"/>
      <c r="H672" s="5"/>
      <c r="I672" s="5"/>
      <c r="J672" s="5"/>
      <c r="K672" s="5"/>
      <c r="L672" s="5"/>
      <c r="M672" s="5"/>
      <c r="N672" s="5"/>
      <c r="O672" s="5"/>
      <c r="P672" s="5"/>
      <c r="Q672" s="5"/>
      <c r="R672" s="5"/>
      <c r="S672" s="5"/>
      <c r="T672" s="5"/>
      <c r="U672" s="5"/>
      <c r="V672" s="5"/>
      <c r="W672" s="5"/>
    </row>
    <row r="673" spans="1:23" ht="16" x14ac:dyDescent="0.2">
      <c r="A673" s="5"/>
      <c r="B673" s="6"/>
      <c r="C673" s="6"/>
      <c r="D673" s="6"/>
      <c r="E673" s="6"/>
      <c r="F673" s="5"/>
      <c r="G673" s="5"/>
      <c r="H673" s="5"/>
      <c r="I673" s="5"/>
      <c r="J673" s="5"/>
      <c r="K673" s="5"/>
      <c r="L673" s="5"/>
      <c r="M673" s="5"/>
      <c r="N673" s="5"/>
      <c r="O673" s="5"/>
      <c r="P673" s="5"/>
      <c r="Q673" s="5"/>
      <c r="R673" s="5"/>
      <c r="S673" s="5"/>
      <c r="T673" s="5"/>
      <c r="U673" s="5"/>
      <c r="V673" s="5"/>
      <c r="W673" s="5"/>
    </row>
    <row r="674" spans="1:23" ht="16" x14ac:dyDescent="0.2">
      <c r="A674" s="5"/>
      <c r="B674" s="6"/>
      <c r="C674" s="6"/>
      <c r="D674" s="6"/>
      <c r="E674" s="6"/>
      <c r="F674" s="5"/>
      <c r="G674" s="5"/>
      <c r="H674" s="5"/>
      <c r="I674" s="5"/>
      <c r="J674" s="5"/>
      <c r="K674" s="5"/>
      <c r="L674" s="5"/>
      <c r="M674" s="5"/>
      <c r="N674" s="5"/>
      <c r="O674" s="5"/>
      <c r="P674" s="5"/>
      <c r="Q674" s="5"/>
      <c r="R674" s="5"/>
      <c r="S674" s="5"/>
      <c r="T674" s="5"/>
      <c r="U674" s="5"/>
      <c r="V674" s="5"/>
      <c r="W674" s="5"/>
    </row>
    <row r="675" spans="1:23" ht="16" x14ac:dyDescent="0.2">
      <c r="A675" s="5"/>
      <c r="B675" s="6"/>
      <c r="C675" s="6"/>
      <c r="D675" s="6"/>
      <c r="E675" s="6"/>
      <c r="F675" s="5"/>
      <c r="G675" s="5"/>
      <c r="H675" s="5"/>
      <c r="I675" s="5"/>
      <c r="J675" s="5"/>
      <c r="K675" s="5"/>
      <c r="L675" s="5"/>
      <c r="M675" s="5"/>
      <c r="N675" s="5"/>
      <c r="O675" s="5"/>
      <c r="P675" s="5"/>
      <c r="Q675" s="5"/>
      <c r="R675" s="5"/>
      <c r="S675" s="5"/>
      <c r="T675" s="5"/>
      <c r="U675" s="5"/>
      <c r="V675" s="5"/>
      <c r="W675" s="5"/>
    </row>
    <row r="676" spans="1:23" ht="16" x14ac:dyDescent="0.2">
      <c r="A676" s="5"/>
      <c r="B676" s="6"/>
      <c r="C676" s="6"/>
      <c r="D676" s="6"/>
      <c r="E676" s="6"/>
      <c r="F676" s="5"/>
      <c r="G676" s="5"/>
      <c r="H676" s="5"/>
      <c r="I676" s="5"/>
      <c r="J676" s="5"/>
      <c r="K676" s="5"/>
      <c r="L676" s="5"/>
      <c r="M676" s="5"/>
      <c r="N676" s="5"/>
      <c r="O676" s="5"/>
      <c r="P676" s="5"/>
      <c r="Q676" s="5"/>
      <c r="R676" s="5"/>
      <c r="S676" s="5"/>
      <c r="T676" s="5"/>
      <c r="U676" s="5"/>
      <c r="V676" s="5"/>
      <c r="W676" s="5"/>
    </row>
    <row r="677" spans="1:23" ht="16" x14ac:dyDescent="0.2">
      <c r="A677" s="5"/>
      <c r="B677" s="6"/>
      <c r="C677" s="6"/>
      <c r="D677" s="6"/>
      <c r="E677" s="6"/>
      <c r="F677" s="5"/>
      <c r="G677" s="5"/>
      <c r="H677" s="5"/>
      <c r="I677" s="5"/>
      <c r="J677" s="5"/>
      <c r="K677" s="5"/>
      <c r="L677" s="5"/>
      <c r="M677" s="5"/>
      <c r="N677" s="5"/>
      <c r="O677" s="5"/>
      <c r="P677" s="5"/>
      <c r="Q677" s="5"/>
      <c r="R677" s="5"/>
      <c r="S677" s="5"/>
      <c r="T677" s="5"/>
      <c r="U677" s="5"/>
      <c r="V677" s="5"/>
      <c r="W677" s="5"/>
    </row>
    <row r="678" spans="1:23" ht="16" x14ac:dyDescent="0.2">
      <c r="A678" s="5"/>
      <c r="B678" s="6"/>
      <c r="C678" s="6"/>
      <c r="D678" s="6"/>
      <c r="E678" s="6"/>
      <c r="F678" s="5"/>
      <c r="G678" s="5"/>
      <c r="H678" s="5"/>
      <c r="I678" s="5"/>
      <c r="J678" s="5"/>
      <c r="K678" s="5"/>
      <c r="L678" s="5"/>
      <c r="M678" s="5"/>
      <c r="N678" s="5"/>
      <c r="O678" s="5"/>
      <c r="P678" s="5"/>
      <c r="Q678" s="5"/>
      <c r="R678" s="5"/>
      <c r="S678" s="5"/>
      <c r="T678" s="5"/>
      <c r="U678" s="5"/>
      <c r="V678" s="5"/>
      <c r="W678" s="5"/>
    </row>
    <row r="679" spans="1:23" ht="16" x14ac:dyDescent="0.2">
      <c r="A679" s="5"/>
      <c r="B679" s="6"/>
      <c r="C679" s="6"/>
      <c r="D679" s="6"/>
      <c r="E679" s="6"/>
      <c r="F679" s="5"/>
      <c r="G679" s="5"/>
      <c r="H679" s="5"/>
      <c r="I679" s="5"/>
      <c r="J679" s="5"/>
      <c r="K679" s="5"/>
      <c r="L679" s="5"/>
      <c r="M679" s="5"/>
      <c r="N679" s="5"/>
      <c r="O679" s="5"/>
      <c r="P679" s="5"/>
      <c r="Q679" s="5"/>
      <c r="R679" s="5"/>
      <c r="S679" s="5"/>
      <c r="T679" s="5"/>
      <c r="U679" s="5"/>
      <c r="V679" s="5"/>
      <c r="W679" s="5"/>
    </row>
    <row r="680" spans="1:23" ht="16" x14ac:dyDescent="0.2">
      <c r="A680" s="5"/>
      <c r="B680" s="6"/>
      <c r="C680" s="6"/>
      <c r="D680" s="6"/>
      <c r="E680" s="6"/>
      <c r="F680" s="5"/>
      <c r="G680" s="5"/>
      <c r="H680" s="5"/>
      <c r="I680" s="5"/>
      <c r="J680" s="5"/>
      <c r="K680" s="5"/>
      <c r="L680" s="5"/>
      <c r="M680" s="5"/>
      <c r="N680" s="5"/>
      <c r="O680" s="5"/>
      <c r="P680" s="5"/>
      <c r="Q680" s="5"/>
      <c r="R680" s="5"/>
      <c r="S680" s="5"/>
      <c r="T680" s="5"/>
      <c r="U680" s="5"/>
      <c r="V680" s="5"/>
      <c r="W680" s="5"/>
    </row>
    <row r="681" spans="1:23" ht="16" x14ac:dyDescent="0.2">
      <c r="A681" s="5"/>
      <c r="B681" s="6"/>
      <c r="C681" s="6"/>
      <c r="D681" s="6"/>
      <c r="E681" s="6"/>
      <c r="F681" s="5"/>
      <c r="G681" s="5"/>
      <c r="H681" s="5"/>
      <c r="I681" s="5"/>
      <c r="J681" s="5"/>
      <c r="K681" s="5"/>
      <c r="L681" s="5"/>
      <c r="M681" s="5"/>
      <c r="N681" s="5"/>
      <c r="O681" s="5"/>
      <c r="P681" s="5"/>
      <c r="Q681" s="5"/>
      <c r="R681" s="5"/>
      <c r="S681" s="5"/>
      <c r="T681" s="5"/>
      <c r="U681" s="5"/>
      <c r="V681" s="5"/>
      <c r="W681" s="5"/>
    </row>
    <row r="682" spans="1:23" ht="16" x14ac:dyDescent="0.2">
      <c r="A682" s="5"/>
      <c r="B682" s="6"/>
      <c r="C682" s="6"/>
      <c r="D682" s="6"/>
      <c r="E682" s="6"/>
      <c r="F682" s="5"/>
      <c r="G682" s="5"/>
      <c r="H682" s="5"/>
      <c r="I682" s="5"/>
      <c r="J682" s="5"/>
      <c r="K682" s="5"/>
      <c r="L682" s="5"/>
      <c r="M682" s="5"/>
      <c r="N682" s="5"/>
      <c r="O682" s="5"/>
      <c r="P682" s="5"/>
      <c r="Q682" s="5"/>
      <c r="R682" s="5"/>
      <c r="S682" s="5"/>
      <c r="T682" s="5"/>
      <c r="U682" s="5"/>
      <c r="V682" s="5"/>
      <c r="W682" s="5"/>
    </row>
    <row r="683" spans="1:23" ht="16" x14ac:dyDescent="0.2">
      <c r="A683" s="5"/>
      <c r="B683" s="6"/>
      <c r="C683" s="6"/>
      <c r="D683" s="6"/>
      <c r="E683" s="6"/>
      <c r="F683" s="5"/>
      <c r="G683" s="5"/>
      <c r="H683" s="5"/>
      <c r="I683" s="5"/>
      <c r="J683" s="5"/>
      <c r="K683" s="5"/>
      <c r="L683" s="5"/>
      <c r="M683" s="5"/>
      <c r="N683" s="5"/>
      <c r="O683" s="5"/>
      <c r="P683" s="5"/>
      <c r="Q683" s="5"/>
      <c r="R683" s="5"/>
      <c r="S683" s="5"/>
      <c r="T683" s="5"/>
      <c r="U683" s="5"/>
      <c r="V683" s="5"/>
      <c r="W683" s="5"/>
    </row>
    <row r="684" spans="1:23" ht="16" x14ac:dyDescent="0.2">
      <c r="A684" s="5"/>
      <c r="B684" s="6"/>
      <c r="C684" s="6"/>
      <c r="D684" s="6"/>
      <c r="E684" s="6"/>
      <c r="F684" s="5"/>
      <c r="G684" s="5"/>
      <c r="H684" s="5"/>
      <c r="I684" s="5"/>
      <c r="J684" s="5"/>
      <c r="K684" s="5"/>
      <c r="L684" s="5"/>
      <c r="M684" s="5"/>
      <c r="N684" s="5"/>
      <c r="O684" s="5"/>
      <c r="P684" s="5"/>
      <c r="Q684" s="5"/>
      <c r="R684" s="5"/>
      <c r="S684" s="5"/>
      <c r="T684" s="5"/>
      <c r="U684" s="5"/>
      <c r="V684" s="5"/>
      <c r="W684" s="5"/>
    </row>
    <row r="685" spans="1:23" ht="16" x14ac:dyDescent="0.2">
      <c r="A685" s="5"/>
      <c r="B685" s="6"/>
      <c r="C685" s="6"/>
      <c r="D685" s="6"/>
      <c r="E685" s="6"/>
      <c r="F685" s="5"/>
      <c r="G685" s="5"/>
      <c r="H685" s="5"/>
      <c r="I685" s="5"/>
      <c r="J685" s="5"/>
      <c r="K685" s="5"/>
      <c r="L685" s="5"/>
      <c r="M685" s="5"/>
      <c r="N685" s="5"/>
      <c r="O685" s="5"/>
      <c r="P685" s="5"/>
      <c r="Q685" s="5"/>
      <c r="R685" s="5"/>
      <c r="S685" s="5"/>
      <c r="T685" s="5"/>
      <c r="U685" s="5"/>
      <c r="V685" s="5"/>
      <c r="W685" s="5"/>
    </row>
    <row r="686" spans="1:23" ht="16" x14ac:dyDescent="0.2">
      <c r="A686" s="5"/>
      <c r="B686" s="6"/>
      <c r="C686" s="6"/>
      <c r="D686" s="6"/>
      <c r="E686" s="6"/>
      <c r="F686" s="5"/>
      <c r="G686" s="5"/>
      <c r="H686" s="5"/>
      <c r="I686" s="5"/>
      <c r="J686" s="5"/>
      <c r="K686" s="5"/>
      <c r="L686" s="5"/>
      <c r="M686" s="5"/>
      <c r="N686" s="5"/>
      <c r="O686" s="5"/>
      <c r="P686" s="5"/>
      <c r="Q686" s="5"/>
      <c r="R686" s="5"/>
      <c r="S686" s="5"/>
      <c r="T686" s="5"/>
      <c r="U686" s="5"/>
      <c r="V686" s="5"/>
      <c r="W686" s="5"/>
    </row>
    <row r="687" spans="1:23" ht="16" x14ac:dyDescent="0.2">
      <c r="A687" s="5"/>
      <c r="B687" s="6"/>
      <c r="C687" s="6"/>
      <c r="D687" s="6"/>
      <c r="E687" s="6"/>
      <c r="F687" s="5"/>
      <c r="G687" s="5"/>
      <c r="H687" s="5"/>
      <c r="I687" s="5"/>
      <c r="J687" s="5"/>
      <c r="K687" s="5"/>
      <c r="L687" s="5"/>
      <c r="M687" s="5"/>
      <c r="N687" s="5"/>
      <c r="O687" s="5"/>
      <c r="P687" s="5"/>
      <c r="Q687" s="5"/>
      <c r="R687" s="5"/>
      <c r="S687" s="5"/>
      <c r="T687" s="5"/>
      <c r="U687" s="5"/>
      <c r="V687" s="5"/>
      <c r="W687" s="5"/>
    </row>
    <row r="688" spans="1:23" ht="16" x14ac:dyDescent="0.2">
      <c r="A688" s="5"/>
      <c r="B688" s="6"/>
      <c r="C688" s="6"/>
      <c r="D688" s="6"/>
      <c r="E688" s="6"/>
      <c r="F688" s="5"/>
      <c r="G688" s="5"/>
      <c r="H688" s="5"/>
      <c r="I688" s="5"/>
      <c r="J688" s="5"/>
      <c r="K688" s="5"/>
      <c r="L688" s="5"/>
      <c r="M688" s="5"/>
      <c r="N688" s="5"/>
      <c r="O688" s="5"/>
      <c r="P688" s="5"/>
      <c r="Q688" s="5"/>
      <c r="R688" s="5"/>
      <c r="S688" s="5"/>
      <c r="T688" s="5"/>
      <c r="U688" s="5"/>
      <c r="V688" s="5"/>
      <c r="W688" s="5"/>
    </row>
    <row r="689" spans="1:23" ht="16" x14ac:dyDescent="0.2">
      <c r="A689" s="5"/>
      <c r="B689" s="6"/>
      <c r="C689" s="6"/>
      <c r="D689" s="6"/>
      <c r="E689" s="6"/>
      <c r="F689" s="5"/>
      <c r="G689" s="5"/>
      <c r="H689" s="5"/>
      <c r="I689" s="5"/>
      <c r="J689" s="5"/>
      <c r="K689" s="5"/>
      <c r="L689" s="5"/>
      <c r="M689" s="5"/>
      <c r="N689" s="5"/>
      <c r="O689" s="5"/>
      <c r="P689" s="5"/>
      <c r="Q689" s="5"/>
      <c r="R689" s="5"/>
      <c r="S689" s="5"/>
      <c r="T689" s="5"/>
      <c r="U689" s="5"/>
      <c r="V689" s="5"/>
      <c r="W689" s="5"/>
    </row>
    <row r="690" spans="1:23" ht="16" x14ac:dyDescent="0.2">
      <c r="A690" s="5"/>
      <c r="B690" s="6"/>
      <c r="C690" s="6"/>
      <c r="D690" s="6"/>
      <c r="E690" s="6"/>
      <c r="F690" s="5"/>
      <c r="G690" s="5"/>
      <c r="H690" s="5"/>
      <c r="I690" s="5"/>
      <c r="J690" s="5"/>
      <c r="K690" s="5"/>
      <c r="L690" s="5"/>
      <c r="M690" s="5"/>
      <c r="N690" s="5"/>
      <c r="O690" s="5"/>
      <c r="P690" s="5"/>
      <c r="Q690" s="5"/>
      <c r="R690" s="5"/>
      <c r="S690" s="5"/>
      <c r="T690" s="5"/>
      <c r="U690" s="5"/>
      <c r="V690" s="5"/>
      <c r="W690" s="5"/>
    </row>
    <row r="691" spans="1:23" ht="16" x14ac:dyDescent="0.2">
      <c r="A691" s="5"/>
      <c r="B691" s="6"/>
      <c r="C691" s="6"/>
      <c r="D691" s="6"/>
      <c r="E691" s="6"/>
      <c r="F691" s="5"/>
      <c r="G691" s="5"/>
      <c r="H691" s="5"/>
      <c r="I691" s="5"/>
      <c r="J691" s="5"/>
      <c r="K691" s="5"/>
      <c r="L691" s="5"/>
      <c r="M691" s="5"/>
      <c r="N691" s="5"/>
      <c r="O691" s="5"/>
      <c r="P691" s="5"/>
      <c r="Q691" s="5"/>
      <c r="R691" s="5"/>
      <c r="S691" s="5"/>
      <c r="T691" s="5"/>
      <c r="U691" s="5"/>
      <c r="V691" s="5"/>
      <c r="W691" s="5"/>
    </row>
    <row r="692" spans="1:23" ht="16" x14ac:dyDescent="0.2">
      <c r="A692" s="5"/>
      <c r="B692" s="6"/>
      <c r="C692" s="6"/>
      <c r="D692" s="6"/>
      <c r="E692" s="6"/>
      <c r="F692" s="5"/>
      <c r="G692" s="5"/>
      <c r="H692" s="5"/>
      <c r="I692" s="5"/>
      <c r="J692" s="5"/>
      <c r="K692" s="5"/>
      <c r="L692" s="5"/>
      <c r="M692" s="5"/>
      <c r="N692" s="5"/>
      <c r="O692" s="5"/>
      <c r="P692" s="5"/>
      <c r="Q692" s="5"/>
      <c r="R692" s="5"/>
      <c r="S692" s="5"/>
      <c r="T692" s="5"/>
      <c r="U692" s="5"/>
      <c r="V692" s="5"/>
      <c r="W692" s="5"/>
    </row>
    <row r="693" spans="1:23" ht="16" x14ac:dyDescent="0.2">
      <c r="A693" s="5"/>
      <c r="B693" s="6"/>
      <c r="C693" s="6"/>
      <c r="D693" s="6"/>
      <c r="E693" s="6"/>
      <c r="F693" s="5"/>
      <c r="G693" s="5"/>
      <c r="H693" s="5"/>
      <c r="I693" s="5"/>
      <c r="J693" s="5"/>
      <c r="K693" s="5"/>
      <c r="L693" s="5"/>
      <c r="M693" s="5"/>
      <c r="N693" s="5"/>
      <c r="O693" s="5"/>
      <c r="P693" s="5"/>
      <c r="Q693" s="5"/>
      <c r="R693" s="5"/>
      <c r="S693" s="5"/>
      <c r="T693" s="5"/>
      <c r="U693" s="5"/>
      <c r="V693" s="5"/>
      <c r="W693" s="5"/>
    </row>
    <row r="694" spans="1:23" ht="16" x14ac:dyDescent="0.2">
      <c r="A694" s="5"/>
      <c r="B694" s="6"/>
      <c r="C694" s="6"/>
      <c r="D694" s="6"/>
      <c r="E694" s="6"/>
      <c r="F694" s="5"/>
      <c r="G694" s="5"/>
      <c r="H694" s="5"/>
      <c r="I694" s="5"/>
      <c r="J694" s="5"/>
      <c r="K694" s="5"/>
      <c r="L694" s="5"/>
      <c r="M694" s="5"/>
      <c r="N694" s="5"/>
      <c r="O694" s="5"/>
      <c r="P694" s="5"/>
      <c r="Q694" s="5"/>
      <c r="R694" s="5"/>
      <c r="S694" s="5"/>
      <c r="T694" s="5"/>
      <c r="U694" s="5"/>
      <c r="V694" s="5"/>
      <c r="W694" s="5"/>
    </row>
    <row r="695" spans="1:23" ht="16" x14ac:dyDescent="0.2">
      <c r="A695" s="5"/>
      <c r="B695" s="6"/>
      <c r="C695" s="6"/>
      <c r="D695" s="6"/>
      <c r="E695" s="6"/>
      <c r="F695" s="5"/>
      <c r="G695" s="5"/>
      <c r="H695" s="5"/>
      <c r="I695" s="5"/>
      <c r="J695" s="5"/>
      <c r="K695" s="5"/>
      <c r="L695" s="5"/>
      <c r="M695" s="5"/>
      <c r="N695" s="5"/>
      <c r="O695" s="5"/>
      <c r="P695" s="5"/>
      <c r="Q695" s="5"/>
      <c r="R695" s="5"/>
      <c r="S695" s="5"/>
      <c r="T695" s="5"/>
      <c r="U695" s="5"/>
      <c r="V695" s="5"/>
      <c r="W695" s="5"/>
    </row>
    <row r="696" spans="1:23" ht="16" x14ac:dyDescent="0.2">
      <c r="A696" s="5"/>
      <c r="B696" s="6"/>
      <c r="C696" s="6"/>
      <c r="D696" s="6"/>
      <c r="E696" s="6"/>
      <c r="F696" s="5"/>
      <c r="G696" s="5"/>
      <c r="H696" s="5"/>
      <c r="I696" s="5"/>
      <c r="J696" s="5"/>
      <c r="K696" s="5"/>
      <c r="L696" s="5"/>
      <c r="M696" s="5"/>
      <c r="N696" s="5"/>
      <c r="O696" s="5"/>
      <c r="P696" s="5"/>
      <c r="Q696" s="5"/>
      <c r="R696" s="5"/>
      <c r="S696" s="5"/>
      <c r="T696" s="5"/>
      <c r="U696" s="5"/>
      <c r="V696" s="5"/>
      <c r="W696" s="5"/>
    </row>
    <row r="697" spans="1:23" ht="16" x14ac:dyDescent="0.2">
      <c r="A697" s="5"/>
      <c r="B697" s="6"/>
      <c r="C697" s="6"/>
      <c r="D697" s="6"/>
      <c r="E697" s="6"/>
      <c r="F697" s="5"/>
      <c r="G697" s="5"/>
      <c r="H697" s="5"/>
      <c r="I697" s="5"/>
      <c r="J697" s="5"/>
      <c r="K697" s="5"/>
      <c r="L697" s="5"/>
      <c r="M697" s="5"/>
      <c r="N697" s="5"/>
      <c r="O697" s="5"/>
      <c r="P697" s="5"/>
      <c r="Q697" s="5"/>
      <c r="R697" s="5"/>
      <c r="S697" s="5"/>
      <c r="T697" s="5"/>
      <c r="U697" s="5"/>
      <c r="V697" s="5"/>
      <c r="W697" s="5"/>
    </row>
    <row r="698" spans="1:23" ht="16" x14ac:dyDescent="0.2">
      <c r="A698" s="5"/>
      <c r="B698" s="6"/>
      <c r="C698" s="6"/>
      <c r="D698" s="6"/>
      <c r="E698" s="6"/>
      <c r="F698" s="5"/>
      <c r="G698" s="5"/>
      <c r="H698" s="5"/>
      <c r="I698" s="5"/>
      <c r="J698" s="5"/>
      <c r="K698" s="5"/>
      <c r="L698" s="5"/>
      <c r="M698" s="5"/>
      <c r="N698" s="5"/>
      <c r="O698" s="5"/>
      <c r="P698" s="5"/>
      <c r="Q698" s="5"/>
      <c r="R698" s="5"/>
      <c r="S698" s="5"/>
      <c r="T698" s="5"/>
      <c r="U698" s="5"/>
      <c r="V698" s="5"/>
      <c r="W698" s="5"/>
    </row>
    <row r="699" spans="1:23" ht="16" x14ac:dyDescent="0.2">
      <c r="A699" s="5"/>
      <c r="B699" s="6"/>
      <c r="C699" s="6"/>
      <c r="D699" s="6"/>
      <c r="E699" s="6"/>
      <c r="F699" s="5"/>
      <c r="G699" s="5"/>
      <c r="H699" s="5"/>
      <c r="I699" s="5"/>
      <c r="J699" s="5"/>
      <c r="K699" s="5"/>
      <c r="L699" s="5"/>
      <c r="M699" s="5"/>
      <c r="N699" s="5"/>
      <c r="O699" s="5"/>
      <c r="P699" s="5"/>
      <c r="Q699" s="5"/>
      <c r="R699" s="5"/>
      <c r="S699" s="5"/>
      <c r="T699" s="5"/>
      <c r="U699" s="5"/>
      <c r="V699" s="5"/>
      <c r="W699" s="5"/>
    </row>
    <row r="700" spans="1:23" ht="16" x14ac:dyDescent="0.2">
      <c r="A700" s="5"/>
      <c r="B700" s="6"/>
      <c r="C700" s="6"/>
      <c r="D700" s="6"/>
      <c r="E700" s="6"/>
      <c r="F700" s="5"/>
      <c r="G700" s="5"/>
      <c r="H700" s="5"/>
      <c r="I700" s="5"/>
      <c r="J700" s="5"/>
      <c r="K700" s="5"/>
      <c r="L700" s="5"/>
      <c r="M700" s="5"/>
      <c r="N700" s="5"/>
      <c r="O700" s="5"/>
      <c r="P700" s="5"/>
      <c r="Q700" s="5"/>
      <c r="R700" s="5"/>
      <c r="S700" s="5"/>
      <c r="T700" s="5"/>
      <c r="U700" s="5"/>
      <c r="V700" s="5"/>
      <c r="W700" s="5"/>
    </row>
    <row r="701" spans="1:23" ht="16" x14ac:dyDescent="0.2">
      <c r="A701" s="5"/>
      <c r="B701" s="6"/>
      <c r="C701" s="6"/>
      <c r="D701" s="6"/>
      <c r="E701" s="6"/>
      <c r="F701" s="5"/>
      <c r="G701" s="5"/>
      <c r="H701" s="5"/>
      <c r="I701" s="5"/>
      <c r="J701" s="5"/>
      <c r="K701" s="5"/>
      <c r="L701" s="5"/>
      <c r="M701" s="5"/>
      <c r="N701" s="5"/>
      <c r="O701" s="5"/>
      <c r="P701" s="5"/>
      <c r="Q701" s="5"/>
      <c r="R701" s="5"/>
      <c r="S701" s="5"/>
      <c r="T701" s="5"/>
      <c r="U701" s="5"/>
      <c r="V701" s="5"/>
      <c r="W701" s="5"/>
    </row>
    <row r="702" spans="1:23" ht="16" x14ac:dyDescent="0.2">
      <c r="A702" s="5"/>
      <c r="B702" s="6"/>
      <c r="C702" s="6"/>
      <c r="D702" s="6"/>
      <c r="E702" s="6"/>
      <c r="F702" s="5"/>
      <c r="G702" s="5"/>
      <c r="H702" s="5"/>
      <c r="I702" s="5"/>
      <c r="J702" s="5"/>
      <c r="K702" s="5"/>
      <c r="L702" s="5"/>
      <c r="M702" s="5"/>
      <c r="N702" s="5"/>
      <c r="O702" s="5"/>
      <c r="P702" s="5"/>
      <c r="Q702" s="5"/>
      <c r="R702" s="5"/>
      <c r="S702" s="5"/>
      <c r="T702" s="5"/>
      <c r="U702" s="5"/>
      <c r="V702" s="5"/>
      <c r="W702" s="5"/>
    </row>
    <row r="703" spans="1:23" ht="16" x14ac:dyDescent="0.2">
      <c r="A703" s="5"/>
      <c r="B703" s="6"/>
      <c r="C703" s="6"/>
      <c r="D703" s="6"/>
      <c r="E703" s="6"/>
      <c r="F703" s="5"/>
      <c r="G703" s="5"/>
      <c r="H703" s="5"/>
      <c r="I703" s="5"/>
      <c r="J703" s="5"/>
      <c r="K703" s="5"/>
      <c r="L703" s="5"/>
      <c r="M703" s="5"/>
      <c r="N703" s="5"/>
      <c r="O703" s="5"/>
      <c r="P703" s="5"/>
      <c r="Q703" s="5"/>
      <c r="R703" s="5"/>
      <c r="S703" s="5"/>
      <c r="T703" s="5"/>
      <c r="U703" s="5"/>
      <c r="V703" s="5"/>
      <c r="W703" s="5"/>
    </row>
    <row r="704" spans="1:23" ht="16" x14ac:dyDescent="0.2">
      <c r="A704" s="5"/>
      <c r="B704" s="6"/>
      <c r="C704" s="6"/>
      <c r="D704" s="6"/>
      <c r="E704" s="6"/>
      <c r="F704" s="5"/>
      <c r="G704" s="5"/>
      <c r="H704" s="5"/>
      <c r="I704" s="5"/>
      <c r="J704" s="5"/>
      <c r="K704" s="5"/>
      <c r="L704" s="5"/>
      <c r="M704" s="5"/>
      <c r="N704" s="5"/>
      <c r="O704" s="5"/>
      <c r="P704" s="5"/>
      <c r="Q704" s="5"/>
      <c r="R704" s="5"/>
      <c r="S704" s="5"/>
      <c r="T704" s="5"/>
      <c r="U704" s="5"/>
      <c r="V704" s="5"/>
      <c r="W704" s="5"/>
    </row>
    <row r="705" spans="1:23" ht="16" x14ac:dyDescent="0.2">
      <c r="A705" s="5"/>
      <c r="B705" s="6"/>
      <c r="C705" s="6"/>
      <c r="D705" s="6"/>
      <c r="E705" s="6"/>
      <c r="F705" s="5"/>
      <c r="G705" s="5"/>
      <c r="H705" s="5"/>
      <c r="I705" s="5"/>
      <c r="J705" s="5"/>
      <c r="K705" s="5"/>
      <c r="L705" s="5"/>
      <c r="M705" s="5"/>
      <c r="N705" s="5"/>
      <c r="O705" s="5"/>
      <c r="P705" s="5"/>
      <c r="Q705" s="5"/>
      <c r="R705" s="5"/>
      <c r="S705" s="5"/>
      <c r="T705" s="5"/>
      <c r="U705" s="5"/>
      <c r="V705" s="5"/>
      <c r="W705" s="5"/>
    </row>
    <row r="706" spans="1:23" ht="16" x14ac:dyDescent="0.2">
      <c r="A706" s="5"/>
      <c r="B706" s="6"/>
      <c r="C706" s="6"/>
      <c r="D706" s="6"/>
      <c r="E706" s="6"/>
      <c r="F706" s="5"/>
      <c r="G706" s="5"/>
      <c r="H706" s="5"/>
      <c r="I706" s="5"/>
      <c r="J706" s="5"/>
      <c r="K706" s="5"/>
      <c r="L706" s="5"/>
      <c r="M706" s="5"/>
      <c r="N706" s="5"/>
      <c r="O706" s="5"/>
      <c r="P706" s="5"/>
      <c r="Q706" s="5"/>
      <c r="R706" s="5"/>
      <c r="S706" s="5"/>
      <c r="T706" s="5"/>
      <c r="U706" s="5"/>
      <c r="V706" s="5"/>
      <c r="W706" s="5"/>
    </row>
    <row r="707" spans="1:23" ht="16" x14ac:dyDescent="0.2">
      <c r="A707" s="5"/>
      <c r="B707" s="6"/>
      <c r="C707" s="6"/>
      <c r="D707" s="6"/>
      <c r="E707" s="6"/>
      <c r="F707" s="5"/>
      <c r="G707" s="5"/>
      <c r="H707" s="5"/>
      <c r="I707" s="5"/>
      <c r="J707" s="5"/>
      <c r="K707" s="5"/>
      <c r="L707" s="5"/>
      <c r="M707" s="5"/>
      <c r="N707" s="5"/>
      <c r="O707" s="5"/>
      <c r="P707" s="5"/>
      <c r="Q707" s="5"/>
      <c r="R707" s="5"/>
      <c r="S707" s="5"/>
      <c r="T707" s="5"/>
      <c r="U707" s="5"/>
      <c r="V707" s="5"/>
      <c r="W707" s="5"/>
    </row>
    <row r="708" spans="1:23" ht="16" x14ac:dyDescent="0.2">
      <c r="A708" s="5"/>
      <c r="B708" s="6"/>
      <c r="C708" s="6"/>
      <c r="D708" s="6"/>
      <c r="E708" s="6"/>
      <c r="F708" s="5"/>
      <c r="G708" s="5"/>
      <c r="H708" s="5"/>
      <c r="I708" s="5"/>
      <c r="J708" s="5"/>
      <c r="K708" s="5"/>
      <c r="L708" s="5"/>
      <c r="M708" s="5"/>
      <c r="N708" s="5"/>
      <c r="O708" s="5"/>
      <c r="P708" s="5"/>
      <c r="Q708" s="5"/>
      <c r="R708" s="5"/>
      <c r="S708" s="5"/>
      <c r="T708" s="5"/>
      <c r="U708" s="5"/>
      <c r="V708" s="5"/>
      <c r="W708" s="5"/>
    </row>
    <row r="709" spans="1:23" ht="16" x14ac:dyDescent="0.2">
      <c r="A709" s="5"/>
      <c r="B709" s="6"/>
      <c r="C709" s="6"/>
      <c r="D709" s="6"/>
      <c r="E709" s="6"/>
      <c r="F709" s="5"/>
      <c r="G709" s="5"/>
      <c r="H709" s="5"/>
      <c r="I709" s="5"/>
      <c r="J709" s="5"/>
      <c r="K709" s="5"/>
      <c r="L709" s="5"/>
      <c r="M709" s="5"/>
      <c r="N709" s="5"/>
      <c r="O709" s="5"/>
      <c r="P709" s="5"/>
      <c r="Q709" s="5"/>
      <c r="R709" s="5"/>
      <c r="S709" s="5"/>
      <c r="T709" s="5"/>
      <c r="U709" s="5"/>
      <c r="V709" s="5"/>
      <c r="W709" s="5"/>
    </row>
    <row r="710" spans="1:23" ht="16" x14ac:dyDescent="0.2">
      <c r="A710" s="5"/>
      <c r="B710" s="6"/>
      <c r="C710" s="6"/>
      <c r="D710" s="6"/>
      <c r="E710" s="6"/>
      <c r="F710" s="5"/>
      <c r="G710" s="5"/>
      <c r="H710" s="5"/>
      <c r="I710" s="5"/>
      <c r="J710" s="5"/>
      <c r="K710" s="5"/>
      <c r="L710" s="5"/>
      <c r="M710" s="5"/>
      <c r="N710" s="5"/>
      <c r="O710" s="5"/>
      <c r="P710" s="5"/>
      <c r="Q710" s="5"/>
      <c r="R710" s="5"/>
      <c r="S710" s="5"/>
      <c r="T710" s="5"/>
      <c r="U710" s="5"/>
      <c r="V710" s="5"/>
      <c r="W710" s="5"/>
    </row>
    <row r="711" spans="1:23" ht="16" x14ac:dyDescent="0.2">
      <c r="A711" s="5"/>
      <c r="B711" s="6"/>
      <c r="C711" s="6"/>
      <c r="D711" s="6"/>
      <c r="E711" s="6"/>
      <c r="F711" s="5"/>
      <c r="G711" s="5"/>
      <c r="H711" s="5"/>
      <c r="I711" s="5"/>
      <c r="J711" s="5"/>
      <c r="K711" s="5"/>
      <c r="L711" s="5"/>
      <c r="M711" s="5"/>
      <c r="N711" s="5"/>
      <c r="O711" s="5"/>
      <c r="P711" s="5"/>
      <c r="Q711" s="5"/>
      <c r="R711" s="5"/>
      <c r="S711" s="5"/>
      <c r="T711" s="5"/>
      <c r="U711" s="5"/>
      <c r="V711" s="5"/>
      <c r="W711" s="5"/>
    </row>
    <row r="712" spans="1:23" ht="16" x14ac:dyDescent="0.2">
      <c r="A712" s="5"/>
      <c r="B712" s="6"/>
      <c r="C712" s="6"/>
      <c r="D712" s="6"/>
      <c r="E712" s="6"/>
      <c r="F712" s="5"/>
      <c r="G712" s="5"/>
      <c r="H712" s="5"/>
      <c r="I712" s="5"/>
      <c r="J712" s="5"/>
      <c r="K712" s="5"/>
      <c r="L712" s="5"/>
      <c r="M712" s="5"/>
      <c r="N712" s="5"/>
      <c r="O712" s="5"/>
      <c r="P712" s="5"/>
      <c r="Q712" s="5"/>
      <c r="R712" s="5"/>
      <c r="S712" s="5"/>
      <c r="T712" s="5"/>
      <c r="U712" s="5"/>
      <c r="V712" s="5"/>
      <c r="W712" s="5"/>
    </row>
    <row r="713" spans="1:23" ht="16" x14ac:dyDescent="0.2">
      <c r="A713" s="5"/>
      <c r="B713" s="6"/>
      <c r="C713" s="6"/>
      <c r="D713" s="6"/>
      <c r="E713" s="6"/>
      <c r="F713" s="5"/>
      <c r="G713" s="5"/>
      <c r="H713" s="5"/>
      <c r="I713" s="5"/>
      <c r="J713" s="5"/>
      <c r="K713" s="5"/>
      <c r="L713" s="5"/>
      <c r="M713" s="5"/>
      <c r="N713" s="5"/>
      <c r="O713" s="5"/>
      <c r="P713" s="5"/>
      <c r="Q713" s="5"/>
      <c r="R713" s="5"/>
      <c r="S713" s="5"/>
      <c r="T713" s="5"/>
      <c r="U713" s="5"/>
      <c r="V713" s="5"/>
      <c r="W713" s="5"/>
    </row>
    <row r="714" spans="1:23" ht="16" x14ac:dyDescent="0.2">
      <c r="A714" s="5"/>
      <c r="B714" s="6"/>
      <c r="C714" s="6"/>
      <c r="D714" s="6"/>
      <c r="E714" s="6"/>
      <c r="F714" s="5"/>
      <c r="G714" s="5"/>
      <c r="H714" s="5"/>
      <c r="I714" s="5"/>
      <c r="J714" s="5"/>
      <c r="K714" s="5"/>
      <c r="L714" s="5"/>
      <c r="M714" s="5"/>
      <c r="N714" s="5"/>
      <c r="O714" s="5"/>
      <c r="P714" s="5"/>
      <c r="Q714" s="5"/>
      <c r="R714" s="5"/>
      <c r="S714" s="5"/>
      <c r="T714" s="5"/>
      <c r="U714" s="5"/>
      <c r="V714" s="5"/>
      <c r="W714" s="5"/>
    </row>
    <row r="715" spans="1:23" ht="16" x14ac:dyDescent="0.2">
      <c r="A715" s="5"/>
      <c r="B715" s="6"/>
      <c r="C715" s="6"/>
      <c r="D715" s="6"/>
      <c r="E715" s="6"/>
      <c r="F715" s="5"/>
      <c r="G715" s="5"/>
      <c r="H715" s="5"/>
      <c r="I715" s="5"/>
      <c r="J715" s="5"/>
      <c r="K715" s="5"/>
      <c r="L715" s="5"/>
      <c r="M715" s="5"/>
      <c r="N715" s="5"/>
      <c r="O715" s="5"/>
      <c r="P715" s="5"/>
      <c r="Q715" s="5"/>
      <c r="R715" s="5"/>
      <c r="S715" s="5"/>
      <c r="T715" s="5"/>
      <c r="U715" s="5"/>
      <c r="V715" s="5"/>
      <c r="W715" s="5"/>
    </row>
    <row r="716" spans="1:23" ht="16" x14ac:dyDescent="0.2">
      <c r="A716" s="5"/>
      <c r="B716" s="6"/>
      <c r="C716" s="6"/>
      <c r="D716" s="6"/>
      <c r="E716" s="6"/>
      <c r="F716" s="5"/>
      <c r="G716" s="5"/>
      <c r="H716" s="5"/>
      <c r="I716" s="5"/>
      <c r="J716" s="5"/>
      <c r="K716" s="5"/>
      <c r="L716" s="5"/>
      <c r="M716" s="5"/>
      <c r="N716" s="5"/>
      <c r="O716" s="5"/>
      <c r="P716" s="5"/>
      <c r="Q716" s="5"/>
      <c r="R716" s="5"/>
      <c r="S716" s="5"/>
      <c r="T716" s="5"/>
      <c r="U716" s="5"/>
      <c r="V716" s="5"/>
      <c r="W716" s="5"/>
    </row>
    <row r="717" spans="1:23" ht="16" x14ac:dyDescent="0.2">
      <c r="A717" s="5"/>
      <c r="B717" s="6"/>
      <c r="C717" s="6"/>
      <c r="D717" s="6"/>
      <c r="E717" s="6"/>
      <c r="F717" s="5"/>
      <c r="G717" s="5"/>
      <c r="H717" s="5"/>
      <c r="I717" s="5"/>
      <c r="J717" s="5"/>
      <c r="K717" s="5"/>
      <c r="L717" s="5"/>
      <c r="M717" s="5"/>
      <c r="N717" s="5"/>
      <c r="O717" s="5"/>
      <c r="P717" s="5"/>
      <c r="Q717" s="5"/>
      <c r="R717" s="5"/>
      <c r="S717" s="5"/>
      <c r="T717" s="5"/>
      <c r="U717" s="5"/>
      <c r="V717" s="5"/>
      <c r="W717" s="5"/>
    </row>
    <row r="718" spans="1:23" ht="16" x14ac:dyDescent="0.2">
      <c r="A718" s="5"/>
      <c r="B718" s="6"/>
      <c r="C718" s="6"/>
      <c r="D718" s="6"/>
      <c r="E718" s="6"/>
      <c r="F718" s="5"/>
      <c r="G718" s="5"/>
      <c r="H718" s="5"/>
      <c r="I718" s="5"/>
      <c r="J718" s="5"/>
      <c r="K718" s="5"/>
      <c r="L718" s="5"/>
      <c r="M718" s="5"/>
      <c r="N718" s="5"/>
      <c r="O718" s="5"/>
      <c r="P718" s="5"/>
      <c r="Q718" s="5"/>
      <c r="R718" s="5"/>
      <c r="S718" s="5"/>
      <c r="T718" s="5"/>
      <c r="U718" s="5"/>
      <c r="V718" s="5"/>
      <c r="W718" s="5"/>
    </row>
    <row r="719" spans="1:23" ht="16" x14ac:dyDescent="0.2">
      <c r="A719" s="5"/>
      <c r="B719" s="6"/>
      <c r="C719" s="6"/>
      <c r="D719" s="6"/>
      <c r="E719" s="6"/>
      <c r="F719" s="5"/>
      <c r="G719" s="5"/>
      <c r="H719" s="5"/>
      <c r="I719" s="5"/>
      <c r="J719" s="5"/>
      <c r="K719" s="5"/>
      <c r="L719" s="5"/>
      <c r="M719" s="5"/>
      <c r="N719" s="5"/>
      <c r="O719" s="5"/>
      <c r="P719" s="5"/>
      <c r="Q719" s="5"/>
      <c r="R719" s="5"/>
      <c r="S719" s="5"/>
      <c r="T719" s="5"/>
      <c r="U719" s="5"/>
      <c r="V719" s="5"/>
      <c r="W719" s="5"/>
    </row>
    <row r="720" spans="1:23" ht="16" x14ac:dyDescent="0.2">
      <c r="A720" s="5"/>
      <c r="B720" s="6"/>
      <c r="C720" s="6"/>
      <c r="D720" s="6"/>
      <c r="E720" s="6"/>
      <c r="F720" s="5"/>
      <c r="G720" s="5"/>
      <c r="H720" s="5"/>
      <c r="I720" s="5"/>
      <c r="J720" s="5"/>
      <c r="K720" s="5"/>
      <c r="L720" s="5"/>
      <c r="M720" s="5"/>
      <c r="N720" s="5"/>
      <c r="O720" s="5"/>
      <c r="P720" s="5"/>
      <c r="Q720" s="5"/>
      <c r="R720" s="5"/>
      <c r="S720" s="5"/>
      <c r="T720" s="5"/>
      <c r="U720" s="5"/>
      <c r="V720" s="5"/>
      <c r="W720" s="5"/>
    </row>
    <row r="721" spans="1:23" ht="16" x14ac:dyDescent="0.2">
      <c r="A721" s="5"/>
      <c r="B721" s="6"/>
      <c r="C721" s="6"/>
      <c r="D721" s="6"/>
      <c r="E721" s="6"/>
      <c r="F721" s="5"/>
      <c r="G721" s="5"/>
      <c r="H721" s="5"/>
      <c r="I721" s="5"/>
      <c r="J721" s="5"/>
      <c r="K721" s="5"/>
      <c r="L721" s="5"/>
      <c r="M721" s="5"/>
      <c r="N721" s="5"/>
      <c r="O721" s="5"/>
      <c r="P721" s="5"/>
      <c r="Q721" s="5"/>
      <c r="R721" s="5"/>
      <c r="S721" s="5"/>
      <c r="T721" s="5"/>
      <c r="U721" s="5"/>
      <c r="V721" s="5"/>
      <c r="W721" s="5"/>
    </row>
    <row r="722" spans="1:23" ht="16" x14ac:dyDescent="0.2">
      <c r="A722" s="5"/>
      <c r="B722" s="6"/>
      <c r="C722" s="6"/>
      <c r="D722" s="6"/>
      <c r="E722" s="6"/>
      <c r="F722" s="5"/>
      <c r="G722" s="5"/>
      <c r="H722" s="5"/>
      <c r="I722" s="5"/>
      <c r="J722" s="5"/>
      <c r="K722" s="5"/>
      <c r="L722" s="5"/>
      <c r="M722" s="5"/>
      <c r="N722" s="5"/>
      <c r="O722" s="5"/>
      <c r="P722" s="5"/>
      <c r="Q722" s="5"/>
      <c r="R722" s="5"/>
      <c r="S722" s="5"/>
      <c r="T722" s="5"/>
      <c r="U722" s="5"/>
      <c r="V722" s="5"/>
      <c r="W722" s="5"/>
    </row>
    <row r="723" spans="1:23" ht="16" x14ac:dyDescent="0.2">
      <c r="A723" s="5"/>
      <c r="B723" s="6"/>
      <c r="C723" s="6"/>
      <c r="D723" s="6"/>
      <c r="E723" s="6"/>
      <c r="F723" s="5"/>
      <c r="G723" s="5"/>
      <c r="H723" s="5"/>
      <c r="I723" s="5"/>
      <c r="J723" s="5"/>
      <c r="K723" s="5"/>
      <c r="L723" s="5"/>
      <c r="M723" s="5"/>
      <c r="N723" s="5"/>
      <c r="O723" s="5"/>
      <c r="P723" s="5"/>
      <c r="Q723" s="5"/>
      <c r="R723" s="5"/>
      <c r="S723" s="5"/>
      <c r="T723" s="5"/>
      <c r="U723" s="5"/>
      <c r="V723" s="5"/>
      <c r="W723" s="5"/>
    </row>
    <row r="724" spans="1:23" ht="16" x14ac:dyDescent="0.2">
      <c r="A724" s="5"/>
      <c r="B724" s="6"/>
      <c r="C724" s="6"/>
      <c r="D724" s="6"/>
      <c r="E724" s="6"/>
      <c r="F724" s="5"/>
      <c r="G724" s="5"/>
      <c r="H724" s="5"/>
      <c r="I724" s="5"/>
      <c r="J724" s="5"/>
      <c r="K724" s="5"/>
      <c r="L724" s="5"/>
      <c r="M724" s="5"/>
      <c r="N724" s="5"/>
      <c r="O724" s="5"/>
      <c r="P724" s="5"/>
      <c r="Q724" s="5"/>
      <c r="R724" s="5"/>
      <c r="S724" s="5"/>
      <c r="T724" s="5"/>
      <c r="U724" s="5"/>
      <c r="V724" s="5"/>
      <c r="W724" s="5"/>
    </row>
    <row r="725" spans="1:23" ht="16" x14ac:dyDescent="0.2">
      <c r="A725" s="5"/>
      <c r="B725" s="6"/>
      <c r="C725" s="6"/>
      <c r="D725" s="6"/>
      <c r="E725" s="6"/>
      <c r="F725" s="5"/>
      <c r="G725" s="5"/>
      <c r="H725" s="5"/>
      <c r="I725" s="5"/>
      <c r="J725" s="5"/>
      <c r="K725" s="5"/>
      <c r="L725" s="5"/>
      <c r="M725" s="5"/>
      <c r="N725" s="5"/>
      <c r="O725" s="5"/>
      <c r="P725" s="5"/>
      <c r="Q725" s="5"/>
      <c r="R725" s="5"/>
      <c r="S725" s="5"/>
      <c r="T725" s="5"/>
      <c r="U725" s="5"/>
      <c r="V725" s="5"/>
      <c r="W725" s="5"/>
    </row>
    <row r="726" spans="1:23" ht="16" x14ac:dyDescent="0.2">
      <c r="A726" s="5"/>
      <c r="B726" s="6"/>
      <c r="C726" s="6"/>
      <c r="D726" s="6"/>
      <c r="E726" s="6"/>
      <c r="F726" s="5"/>
      <c r="G726" s="5"/>
      <c r="H726" s="5"/>
      <c r="I726" s="5"/>
      <c r="J726" s="5"/>
      <c r="K726" s="5"/>
      <c r="L726" s="5"/>
      <c r="M726" s="5"/>
      <c r="N726" s="5"/>
      <c r="O726" s="5"/>
      <c r="P726" s="5"/>
      <c r="Q726" s="5"/>
      <c r="R726" s="5"/>
      <c r="S726" s="5"/>
      <c r="T726" s="5"/>
      <c r="U726" s="5"/>
      <c r="V726" s="5"/>
      <c r="W726" s="5"/>
    </row>
    <row r="727" spans="1:23" ht="16" x14ac:dyDescent="0.2">
      <c r="A727" s="5"/>
      <c r="B727" s="6"/>
      <c r="C727" s="6"/>
      <c r="D727" s="6"/>
      <c r="E727" s="6"/>
      <c r="F727" s="5"/>
      <c r="G727" s="5"/>
      <c r="H727" s="5"/>
      <c r="I727" s="5"/>
      <c r="J727" s="5"/>
      <c r="K727" s="5"/>
      <c r="L727" s="5"/>
      <c r="M727" s="5"/>
      <c r="N727" s="5"/>
      <c r="O727" s="5"/>
      <c r="P727" s="5"/>
      <c r="Q727" s="5"/>
      <c r="R727" s="5"/>
      <c r="S727" s="5"/>
      <c r="T727" s="5"/>
      <c r="U727" s="5"/>
      <c r="V727" s="5"/>
      <c r="W727" s="5"/>
    </row>
    <row r="728" spans="1:23" ht="16" x14ac:dyDescent="0.2">
      <c r="A728" s="5"/>
      <c r="B728" s="6"/>
      <c r="C728" s="6"/>
      <c r="D728" s="6"/>
      <c r="E728" s="6"/>
      <c r="F728" s="5"/>
      <c r="G728" s="5"/>
      <c r="H728" s="5"/>
      <c r="I728" s="5"/>
      <c r="J728" s="5"/>
      <c r="K728" s="5"/>
      <c r="L728" s="5"/>
      <c r="M728" s="5"/>
      <c r="N728" s="5"/>
      <c r="O728" s="5"/>
      <c r="P728" s="5"/>
      <c r="Q728" s="5"/>
      <c r="R728" s="5"/>
      <c r="S728" s="5"/>
      <c r="T728" s="5"/>
      <c r="U728" s="5"/>
      <c r="V728" s="5"/>
      <c r="W728" s="5"/>
    </row>
    <row r="729" spans="1:23" ht="16" x14ac:dyDescent="0.2">
      <c r="A729" s="5"/>
      <c r="B729" s="6"/>
      <c r="C729" s="6"/>
      <c r="D729" s="6"/>
      <c r="E729" s="6"/>
      <c r="F729" s="5"/>
      <c r="G729" s="5"/>
      <c r="H729" s="5"/>
      <c r="I729" s="5"/>
      <c r="J729" s="5"/>
      <c r="K729" s="5"/>
      <c r="L729" s="5"/>
      <c r="M729" s="5"/>
      <c r="N729" s="5"/>
      <c r="O729" s="5"/>
      <c r="P729" s="5"/>
      <c r="Q729" s="5"/>
      <c r="R729" s="5"/>
      <c r="S729" s="5"/>
      <c r="T729" s="5"/>
      <c r="U729" s="5"/>
      <c r="V729" s="5"/>
      <c r="W729" s="5"/>
    </row>
    <row r="730" spans="1:23" ht="16" x14ac:dyDescent="0.2">
      <c r="A730" s="5"/>
      <c r="B730" s="6"/>
      <c r="C730" s="6"/>
      <c r="D730" s="6"/>
      <c r="E730" s="6"/>
      <c r="F730" s="5"/>
      <c r="G730" s="5"/>
      <c r="H730" s="5"/>
      <c r="I730" s="5"/>
      <c r="J730" s="5"/>
      <c r="K730" s="5"/>
      <c r="L730" s="5"/>
      <c r="M730" s="5"/>
      <c r="N730" s="5"/>
      <c r="O730" s="5"/>
      <c r="P730" s="5"/>
      <c r="Q730" s="5"/>
      <c r="R730" s="5"/>
      <c r="S730" s="5"/>
      <c r="T730" s="5"/>
      <c r="U730" s="5"/>
      <c r="V730" s="5"/>
      <c r="W730" s="5"/>
    </row>
    <row r="731" spans="1:23" ht="16" x14ac:dyDescent="0.2">
      <c r="A731" s="5"/>
      <c r="B731" s="6"/>
      <c r="C731" s="6"/>
      <c r="D731" s="6"/>
      <c r="E731" s="6"/>
      <c r="F731" s="5"/>
      <c r="G731" s="5"/>
      <c r="H731" s="5"/>
      <c r="I731" s="5"/>
      <c r="J731" s="5"/>
      <c r="K731" s="5"/>
      <c r="L731" s="5"/>
      <c r="M731" s="5"/>
      <c r="N731" s="5"/>
      <c r="O731" s="5"/>
      <c r="P731" s="5"/>
      <c r="Q731" s="5"/>
      <c r="R731" s="5"/>
      <c r="S731" s="5"/>
      <c r="T731" s="5"/>
      <c r="U731" s="5"/>
      <c r="V731" s="5"/>
      <c r="W731" s="5"/>
    </row>
    <row r="732" spans="1:23" ht="16" x14ac:dyDescent="0.2">
      <c r="A732" s="5"/>
      <c r="B732" s="6"/>
      <c r="C732" s="6"/>
      <c r="D732" s="6"/>
      <c r="E732" s="6"/>
      <c r="F732" s="5"/>
      <c r="G732" s="5"/>
      <c r="H732" s="5"/>
      <c r="I732" s="5"/>
      <c r="J732" s="5"/>
      <c r="K732" s="5"/>
      <c r="L732" s="5"/>
      <c r="M732" s="5"/>
      <c r="N732" s="5"/>
      <c r="O732" s="5"/>
      <c r="P732" s="5"/>
      <c r="Q732" s="5"/>
      <c r="R732" s="5"/>
      <c r="S732" s="5"/>
      <c r="T732" s="5"/>
      <c r="U732" s="5"/>
      <c r="V732" s="5"/>
      <c r="W732" s="5"/>
    </row>
    <row r="733" spans="1:23" ht="16" x14ac:dyDescent="0.2">
      <c r="A733" s="5"/>
      <c r="B733" s="6"/>
      <c r="C733" s="6"/>
      <c r="D733" s="6"/>
      <c r="E733" s="6"/>
      <c r="F733" s="5"/>
      <c r="G733" s="5"/>
      <c r="H733" s="5"/>
      <c r="I733" s="5"/>
      <c r="J733" s="5"/>
      <c r="K733" s="5"/>
      <c r="L733" s="5"/>
      <c r="M733" s="5"/>
      <c r="N733" s="5"/>
      <c r="O733" s="5"/>
      <c r="P733" s="5"/>
      <c r="Q733" s="5"/>
      <c r="R733" s="5"/>
      <c r="S733" s="5"/>
      <c r="T733" s="5"/>
      <c r="U733" s="5"/>
      <c r="V733" s="5"/>
      <c r="W733" s="5"/>
    </row>
    <row r="734" spans="1:23" ht="16" x14ac:dyDescent="0.2">
      <c r="A734" s="5"/>
      <c r="B734" s="6"/>
      <c r="C734" s="6"/>
      <c r="D734" s="6"/>
      <c r="E734" s="6"/>
      <c r="F734" s="5"/>
      <c r="G734" s="5"/>
      <c r="H734" s="5"/>
      <c r="I734" s="5"/>
      <c r="J734" s="5"/>
      <c r="K734" s="5"/>
      <c r="L734" s="5"/>
      <c r="M734" s="5"/>
      <c r="N734" s="5"/>
      <c r="O734" s="5"/>
      <c r="P734" s="5"/>
      <c r="Q734" s="5"/>
      <c r="R734" s="5"/>
      <c r="S734" s="5"/>
      <c r="T734" s="5"/>
      <c r="U734" s="5"/>
      <c r="V734" s="5"/>
      <c r="W734" s="5"/>
    </row>
    <row r="735" spans="1:23" ht="16" x14ac:dyDescent="0.2">
      <c r="A735" s="5"/>
      <c r="B735" s="6"/>
      <c r="C735" s="6"/>
      <c r="D735" s="6"/>
      <c r="E735" s="6"/>
      <c r="F735" s="5"/>
      <c r="G735" s="5"/>
      <c r="H735" s="5"/>
      <c r="I735" s="5"/>
      <c r="J735" s="5"/>
      <c r="K735" s="5"/>
      <c r="L735" s="5"/>
      <c r="M735" s="5"/>
      <c r="N735" s="5"/>
      <c r="O735" s="5"/>
      <c r="P735" s="5"/>
      <c r="Q735" s="5"/>
      <c r="R735" s="5"/>
      <c r="S735" s="5"/>
      <c r="T735" s="5"/>
      <c r="U735" s="5"/>
      <c r="V735" s="5"/>
      <c r="W735" s="5"/>
    </row>
    <row r="736" spans="1:23" ht="16" x14ac:dyDescent="0.2">
      <c r="A736" s="5"/>
      <c r="B736" s="6"/>
      <c r="C736" s="6"/>
      <c r="D736" s="6"/>
      <c r="E736" s="6"/>
      <c r="F736" s="5"/>
      <c r="G736" s="5"/>
      <c r="H736" s="5"/>
      <c r="I736" s="5"/>
      <c r="J736" s="5"/>
      <c r="K736" s="5"/>
      <c r="L736" s="5"/>
      <c r="M736" s="5"/>
      <c r="N736" s="5"/>
      <c r="O736" s="5"/>
      <c r="P736" s="5"/>
      <c r="Q736" s="5"/>
      <c r="R736" s="5"/>
      <c r="S736" s="5"/>
      <c r="T736" s="5"/>
      <c r="U736" s="5"/>
      <c r="V736" s="5"/>
      <c r="W736" s="5"/>
    </row>
    <row r="737" spans="1:23" ht="16" x14ac:dyDescent="0.2">
      <c r="A737" s="5"/>
      <c r="B737" s="6"/>
      <c r="C737" s="6"/>
      <c r="D737" s="6"/>
      <c r="E737" s="6"/>
      <c r="F737" s="5"/>
      <c r="G737" s="5"/>
      <c r="H737" s="5"/>
      <c r="I737" s="5"/>
      <c r="J737" s="5"/>
      <c r="K737" s="5"/>
      <c r="L737" s="5"/>
      <c r="M737" s="5"/>
      <c r="N737" s="5"/>
      <c r="O737" s="5"/>
      <c r="P737" s="5"/>
      <c r="Q737" s="5"/>
      <c r="R737" s="5"/>
      <c r="S737" s="5"/>
      <c r="T737" s="5"/>
      <c r="U737" s="5"/>
      <c r="V737" s="5"/>
      <c r="W737" s="5"/>
    </row>
    <row r="738" spans="1:23" ht="16" x14ac:dyDescent="0.2">
      <c r="A738" s="5"/>
      <c r="B738" s="6"/>
      <c r="C738" s="6"/>
      <c r="D738" s="6"/>
      <c r="E738" s="6"/>
      <c r="F738" s="5"/>
      <c r="G738" s="5"/>
      <c r="H738" s="5"/>
      <c r="I738" s="5"/>
      <c r="J738" s="5"/>
      <c r="K738" s="5"/>
      <c r="L738" s="5"/>
      <c r="M738" s="5"/>
      <c r="N738" s="5"/>
      <c r="O738" s="5"/>
      <c r="P738" s="5"/>
      <c r="Q738" s="5"/>
      <c r="R738" s="5"/>
      <c r="S738" s="5"/>
      <c r="T738" s="5"/>
      <c r="U738" s="5"/>
      <c r="V738" s="5"/>
      <c r="W738" s="5"/>
    </row>
    <row r="739" spans="1:23" ht="16" x14ac:dyDescent="0.2">
      <c r="A739" s="5"/>
      <c r="B739" s="6"/>
      <c r="C739" s="6"/>
      <c r="D739" s="6"/>
      <c r="E739" s="6"/>
      <c r="F739" s="5"/>
      <c r="G739" s="5"/>
      <c r="H739" s="5"/>
      <c r="I739" s="5"/>
      <c r="J739" s="5"/>
      <c r="K739" s="5"/>
      <c r="L739" s="5"/>
      <c r="M739" s="5"/>
      <c r="N739" s="5"/>
      <c r="O739" s="5"/>
      <c r="P739" s="5"/>
      <c r="Q739" s="5"/>
      <c r="R739" s="5"/>
      <c r="S739" s="5"/>
      <c r="T739" s="5"/>
      <c r="U739" s="5"/>
      <c r="V739" s="5"/>
      <c r="W739" s="5"/>
    </row>
    <row r="740" spans="1:23" ht="16" x14ac:dyDescent="0.2">
      <c r="A740" s="5"/>
      <c r="B740" s="6"/>
      <c r="C740" s="6"/>
      <c r="D740" s="6"/>
      <c r="E740" s="6"/>
      <c r="F740" s="5"/>
      <c r="G740" s="5"/>
      <c r="H740" s="5"/>
      <c r="I740" s="5"/>
      <c r="J740" s="5"/>
      <c r="K740" s="5"/>
      <c r="L740" s="5"/>
      <c r="M740" s="5"/>
      <c r="N740" s="5"/>
      <c r="O740" s="5"/>
      <c r="P740" s="5"/>
      <c r="Q740" s="5"/>
      <c r="R740" s="5"/>
      <c r="S740" s="5"/>
      <c r="T740" s="5"/>
      <c r="U740" s="5"/>
      <c r="V740" s="5"/>
      <c r="W740" s="5"/>
    </row>
    <row r="741" spans="1:23" ht="16" x14ac:dyDescent="0.2">
      <c r="A741" s="5"/>
      <c r="B741" s="6"/>
      <c r="C741" s="6"/>
      <c r="D741" s="6"/>
      <c r="E741" s="6"/>
      <c r="F741" s="5"/>
      <c r="G741" s="5"/>
      <c r="H741" s="5"/>
      <c r="I741" s="5"/>
      <c r="J741" s="5"/>
      <c r="K741" s="5"/>
      <c r="L741" s="5"/>
      <c r="M741" s="5"/>
      <c r="N741" s="5"/>
      <c r="O741" s="5"/>
      <c r="P741" s="5"/>
      <c r="Q741" s="5"/>
      <c r="R741" s="5"/>
      <c r="S741" s="5"/>
      <c r="T741" s="5"/>
      <c r="U741" s="5"/>
      <c r="V741" s="5"/>
      <c r="W741" s="5"/>
    </row>
    <row r="742" spans="1:23" ht="16" x14ac:dyDescent="0.2">
      <c r="A742" s="5"/>
      <c r="B742" s="6"/>
      <c r="C742" s="6"/>
      <c r="D742" s="6"/>
      <c r="E742" s="6"/>
      <c r="F742" s="5"/>
      <c r="G742" s="5"/>
      <c r="H742" s="5"/>
      <c r="I742" s="5"/>
      <c r="J742" s="5"/>
      <c r="K742" s="5"/>
      <c r="L742" s="5"/>
      <c r="M742" s="5"/>
      <c r="N742" s="5"/>
      <c r="O742" s="5"/>
      <c r="P742" s="5"/>
      <c r="Q742" s="5"/>
      <c r="R742" s="5"/>
      <c r="S742" s="5"/>
      <c r="T742" s="5"/>
      <c r="U742" s="5"/>
      <c r="V742" s="5"/>
      <c r="W742" s="5"/>
    </row>
    <row r="743" spans="1:23" ht="16" x14ac:dyDescent="0.2">
      <c r="A743" s="5"/>
      <c r="B743" s="6"/>
      <c r="C743" s="6"/>
      <c r="D743" s="6"/>
      <c r="E743" s="6"/>
      <c r="F743" s="5"/>
      <c r="G743" s="5"/>
      <c r="H743" s="5"/>
      <c r="I743" s="5"/>
      <c r="J743" s="5"/>
      <c r="K743" s="5"/>
      <c r="L743" s="5"/>
      <c r="M743" s="5"/>
      <c r="N743" s="5"/>
      <c r="O743" s="5"/>
      <c r="P743" s="5"/>
      <c r="Q743" s="5"/>
      <c r="R743" s="5"/>
      <c r="S743" s="5"/>
      <c r="T743" s="5"/>
      <c r="U743" s="5"/>
      <c r="V743" s="5"/>
      <c r="W743" s="5"/>
    </row>
    <row r="744" spans="1:23" ht="16" x14ac:dyDescent="0.2">
      <c r="A744" s="5"/>
      <c r="B744" s="6"/>
      <c r="C744" s="6"/>
      <c r="D744" s="6"/>
      <c r="E744" s="6"/>
      <c r="F744" s="5"/>
      <c r="G744" s="5"/>
      <c r="H744" s="5"/>
      <c r="I744" s="5"/>
      <c r="J744" s="5"/>
      <c r="K744" s="5"/>
      <c r="L744" s="5"/>
      <c r="M744" s="5"/>
      <c r="N744" s="5"/>
      <c r="O744" s="5"/>
      <c r="P744" s="5"/>
      <c r="Q744" s="5"/>
      <c r="R744" s="5"/>
      <c r="S744" s="5"/>
      <c r="T744" s="5"/>
      <c r="U744" s="5"/>
      <c r="V744" s="5"/>
      <c r="W744" s="5"/>
    </row>
    <row r="745" spans="1:23" ht="16" x14ac:dyDescent="0.2">
      <c r="A745" s="5"/>
      <c r="B745" s="6"/>
      <c r="C745" s="6"/>
      <c r="D745" s="6"/>
      <c r="E745" s="6"/>
      <c r="F745" s="5"/>
      <c r="G745" s="5"/>
      <c r="H745" s="5"/>
      <c r="I745" s="5"/>
      <c r="J745" s="5"/>
      <c r="K745" s="5"/>
      <c r="L745" s="5"/>
      <c r="M745" s="5"/>
      <c r="N745" s="5"/>
      <c r="O745" s="5"/>
      <c r="P745" s="5"/>
      <c r="Q745" s="5"/>
      <c r="R745" s="5"/>
      <c r="S745" s="5"/>
      <c r="T745" s="5"/>
      <c r="U745" s="5"/>
      <c r="V745" s="5"/>
      <c r="W745" s="5"/>
    </row>
    <row r="746" spans="1:23" ht="16" x14ac:dyDescent="0.2">
      <c r="A746" s="5"/>
      <c r="B746" s="6"/>
      <c r="C746" s="6"/>
      <c r="D746" s="6"/>
      <c r="E746" s="6"/>
      <c r="F746" s="5"/>
      <c r="G746" s="5"/>
      <c r="H746" s="5"/>
      <c r="I746" s="5"/>
      <c r="J746" s="5"/>
      <c r="K746" s="5"/>
      <c r="L746" s="5"/>
      <c r="M746" s="5"/>
      <c r="N746" s="5"/>
      <c r="O746" s="5"/>
      <c r="P746" s="5"/>
      <c r="Q746" s="5"/>
      <c r="R746" s="5"/>
      <c r="S746" s="5"/>
      <c r="T746" s="5"/>
      <c r="U746" s="5"/>
      <c r="V746" s="5"/>
      <c r="W746" s="5"/>
    </row>
    <row r="747" spans="1:23" ht="16" x14ac:dyDescent="0.2">
      <c r="A747" s="5"/>
      <c r="B747" s="6"/>
      <c r="C747" s="6"/>
      <c r="D747" s="6"/>
      <c r="E747" s="6"/>
      <c r="F747" s="5"/>
      <c r="G747" s="5"/>
      <c r="H747" s="5"/>
      <c r="I747" s="5"/>
      <c r="J747" s="5"/>
      <c r="K747" s="5"/>
      <c r="L747" s="5"/>
      <c r="M747" s="5"/>
      <c r="N747" s="5"/>
      <c r="O747" s="5"/>
      <c r="P747" s="5"/>
      <c r="Q747" s="5"/>
      <c r="R747" s="5"/>
      <c r="S747" s="5"/>
      <c r="T747" s="5"/>
      <c r="U747" s="5"/>
      <c r="V747" s="5"/>
      <c r="W747" s="5"/>
    </row>
    <row r="748" spans="1:23" ht="16" x14ac:dyDescent="0.2">
      <c r="A748" s="5"/>
      <c r="B748" s="6"/>
      <c r="C748" s="6"/>
      <c r="D748" s="6"/>
      <c r="E748" s="6"/>
      <c r="F748" s="5"/>
      <c r="G748" s="5"/>
      <c r="H748" s="5"/>
      <c r="I748" s="5"/>
      <c r="J748" s="5"/>
      <c r="K748" s="5"/>
      <c r="L748" s="5"/>
      <c r="M748" s="5"/>
      <c r="N748" s="5"/>
      <c r="O748" s="5"/>
      <c r="P748" s="5"/>
      <c r="Q748" s="5"/>
      <c r="R748" s="5"/>
      <c r="S748" s="5"/>
      <c r="T748" s="5"/>
      <c r="U748" s="5"/>
      <c r="V748" s="5"/>
      <c r="W748" s="5"/>
    </row>
    <row r="749" spans="1:23" ht="16" x14ac:dyDescent="0.2">
      <c r="A749" s="5"/>
      <c r="B749" s="6"/>
      <c r="C749" s="6"/>
      <c r="D749" s="6"/>
      <c r="E749" s="6"/>
      <c r="F749" s="5"/>
      <c r="G749" s="5"/>
      <c r="H749" s="5"/>
      <c r="I749" s="5"/>
      <c r="J749" s="5"/>
      <c r="K749" s="5"/>
      <c r="L749" s="5"/>
      <c r="M749" s="5"/>
      <c r="N749" s="5"/>
      <c r="O749" s="5"/>
      <c r="P749" s="5"/>
      <c r="Q749" s="5"/>
      <c r="R749" s="5"/>
      <c r="S749" s="5"/>
      <c r="T749" s="5"/>
      <c r="U749" s="5"/>
      <c r="V749" s="5"/>
      <c r="W749" s="5"/>
    </row>
    <row r="750" spans="1:23" ht="16" x14ac:dyDescent="0.2">
      <c r="A750" s="5"/>
      <c r="B750" s="6"/>
      <c r="C750" s="6"/>
      <c r="D750" s="6"/>
      <c r="E750" s="6"/>
      <c r="F750" s="5"/>
      <c r="G750" s="5"/>
      <c r="H750" s="5"/>
      <c r="I750" s="5"/>
      <c r="J750" s="5"/>
      <c r="K750" s="5"/>
      <c r="L750" s="5"/>
      <c r="M750" s="5"/>
      <c r="N750" s="5"/>
      <c r="O750" s="5"/>
      <c r="P750" s="5"/>
      <c r="Q750" s="5"/>
      <c r="R750" s="5"/>
      <c r="S750" s="5"/>
      <c r="T750" s="5"/>
      <c r="U750" s="5"/>
      <c r="V750" s="5"/>
      <c r="W750" s="5"/>
    </row>
    <row r="751" spans="1:23" ht="16" x14ac:dyDescent="0.2">
      <c r="A751" s="5"/>
      <c r="B751" s="6"/>
      <c r="C751" s="6"/>
      <c r="D751" s="6"/>
      <c r="E751" s="6"/>
      <c r="F751" s="5"/>
      <c r="G751" s="5"/>
      <c r="H751" s="5"/>
      <c r="I751" s="5"/>
      <c r="J751" s="5"/>
      <c r="K751" s="5"/>
      <c r="L751" s="5"/>
      <c r="M751" s="5"/>
      <c r="N751" s="5"/>
      <c r="O751" s="5"/>
      <c r="P751" s="5"/>
      <c r="Q751" s="5"/>
      <c r="R751" s="5"/>
      <c r="S751" s="5"/>
      <c r="T751" s="5"/>
      <c r="U751" s="5"/>
      <c r="V751" s="5"/>
      <c r="W751" s="5"/>
    </row>
    <row r="752" spans="1:23" ht="16" x14ac:dyDescent="0.2">
      <c r="A752" s="5"/>
      <c r="B752" s="6"/>
      <c r="C752" s="6"/>
      <c r="D752" s="6"/>
      <c r="E752" s="6"/>
      <c r="F752" s="5"/>
      <c r="G752" s="5"/>
      <c r="H752" s="5"/>
      <c r="I752" s="5"/>
      <c r="J752" s="5"/>
      <c r="K752" s="5"/>
      <c r="L752" s="5"/>
      <c r="M752" s="5"/>
      <c r="N752" s="5"/>
      <c r="O752" s="5"/>
      <c r="P752" s="5"/>
      <c r="Q752" s="5"/>
      <c r="R752" s="5"/>
      <c r="S752" s="5"/>
      <c r="T752" s="5"/>
      <c r="U752" s="5"/>
      <c r="V752" s="5"/>
      <c r="W752" s="5"/>
    </row>
    <row r="753" spans="1:23" ht="16" x14ac:dyDescent="0.2">
      <c r="A753" s="5"/>
      <c r="B753" s="6"/>
      <c r="C753" s="6"/>
      <c r="D753" s="6"/>
      <c r="E753" s="6"/>
      <c r="F753" s="5"/>
      <c r="G753" s="5"/>
      <c r="H753" s="5"/>
      <c r="I753" s="5"/>
      <c r="J753" s="5"/>
      <c r="K753" s="5"/>
      <c r="L753" s="5"/>
      <c r="M753" s="5"/>
      <c r="N753" s="5"/>
      <c r="O753" s="5"/>
      <c r="P753" s="5"/>
      <c r="Q753" s="5"/>
      <c r="R753" s="5"/>
      <c r="S753" s="5"/>
      <c r="T753" s="5"/>
      <c r="U753" s="5"/>
      <c r="V753" s="5"/>
      <c r="W753" s="5"/>
    </row>
    <row r="754" spans="1:23" ht="16" x14ac:dyDescent="0.2">
      <c r="A754" s="5"/>
      <c r="B754" s="6"/>
      <c r="C754" s="6"/>
      <c r="D754" s="6"/>
      <c r="E754" s="6"/>
      <c r="F754" s="5"/>
      <c r="G754" s="5"/>
      <c r="H754" s="5"/>
      <c r="I754" s="5"/>
      <c r="J754" s="5"/>
      <c r="K754" s="5"/>
      <c r="L754" s="5"/>
      <c r="M754" s="5"/>
      <c r="N754" s="5"/>
      <c r="O754" s="5"/>
      <c r="P754" s="5"/>
      <c r="Q754" s="5"/>
      <c r="R754" s="5"/>
      <c r="S754" s="5"/>
      <c r="T754" s="5"/>
      <c r="U754" s="5"/>
      <c r="V754" s="5"/>
      <c r="W754" s="5"/>
    </row>
    <row r="755" spans="1:23" ht="16" x14ac:dyDescent="0.2">
      <c r="A755" s="5"/>
      <c r="B755" s="6"/>
      <c r="C755" s="6"/>
      <c r="D755" s="6"/>
      <c r="E755" s="6"/>
      <c r="F755" s="5"/>
      <c r="G755" s="5"/>
      <c r="H755" s="5"/>
      <c r="I755" s="5"/>
      <c r="J755" s="5"/>
      <c r="K755" s="5"/>
      <c r="L755" s="5"/>
      <c r="M755" s="5"/>
      <c r="N755" s="5"/>
      <c r="O755" s="5"/>
      <c r="P755" s="5"/>
      <c r="Q755" s="5"/>
      <c r="R755" s="5"/>
      <c r="S755" s="5"/>
      <c r="T755" s="5"/>
      <c r="U755" s="5"/>
      <c r="V755" s="5"/>
      <c r="W755" s="5"/>
    </row>
    <row r="756" spans="1:23" ht="16" x14ac:dyDescent="0.2">
      <c r="A756" s="5"/>
      <c r="B756" s="6"/>
      <c r="C756" s="6"/>
      <c r="D756" s="6"/>
      <c r="E756" s="6"/>
      <c r="F756" s="5"/>
      <c r="G756" s="5"/>
      <c r="H756" s="5"/>
      <c r="I756" s="5"/>
      <c r="J756" s="5"/>
      <c r="K756" s="5"/>
      <c r="L756" s="5"/>
      <c r="M756" s="5"/>
      <c r="N756" s="5"/>
      <c r="O756" s="5"/>
      <c r="P756" s="5"/>
      <c r="Q756" s="5"/>
      <c r="R756" s="5"/>
      <c r="S756" s="5"/>
      <c r="T756" s="5"/>
      <c r="U756" s="5"/>
      <c r="V756" s="5"/>
      <c r="W756" s="5"/>
    </row>
    <row r="757" spans="1:23" ht="16" x14ac:dyDescent="0.2">
      <c r="A757" s="5"/>
      <c r="B757" s="6"/>
      <c r="C757" s="6"/>
      <c r="D757" s="6"/>
      <c r="E757" s="6"/>
      <c r="F757" s="5"/>
      <c r="G757" s="5"/>
      <c r="H757" s="5"/>
      <c r="I757" s="5"/>
      <c r="J757" s="5"/>
      <c r="K757" s="5"/>
      <c r="L757" s="5"/>
      <c r="M757" s="5"/>
      <c r="N757" s="5"/>
      <c r="O757" s="5"/>
      <c r="P757" s="5"/>
      <c r="Q757" s="5"/>
      <c r="R757" s="5"/>
      <c r="S757" s="5"/>
      <c r="T757" s="5"/>
      <c r="U757" s="5"/>
      <c r="V757" s="5"/>
      <c r="W757" s="5"/>
    </row>
    <row r="758" spans="1:23" ht="16" x14ac:dyDescent="0.2">
      <c r="A758" s="5"/>
      <c r="B758" s="6"/>
      <c r="C758" s="6"/>
      <c r="D758" s="6"/>
      <c r="E758" s="6"/>
      <c r="F758" s="5"/>
      <c r="G758" s="5"/>
      <c r="H758" s="5"/>
      <c r="I758" s="5"/>
      <c r="J758" s="5"/>
      <c r="K758" s="5"/>
      <c r="L758" s="5"/>
      <c r="M758" s="5"/>
      <c r="N758" s="5"/>
      <c r="O758" s="5"/>
      <c r="P758" s="5"/>
      <c r="Q758" s="5"/>
      <c r="R758" s="5"/>
      <c r="S758" s="5"/>
      <c r="T758" s="5"/>
      <c r="U758" s="5"/>
      <c r="V758" s="5"/>
      <c r="W758" s="5"/>
    </row>
    <row r="759" spans="1:23" ht="16" x14ac:dyDescent="0.2">
      <c r="A759" s="5"/>
      <c r="B759" s="6"/>
      <c r="C759" s="6"/>
      <c r="D759" s="6"/>
      <c r="E759" s="6"/>
      <c r="F759" s="5"/>
      <c r="G759" s="5"/>
      <c r="H759" s="5"/>
      <c r="I759" s="5"/>
      <c r="J759" s="5"/>
      <c r="K759" s="5"/>
      <c r="L759" s="5"/>
      <c r="M759" s="5"/>
      <c r="N759" s="5"/>
      <c r="O759" s="5"/>
      <c r="P759" s="5"/>
      <c r="Q759" s="5"/>
      <c r="R759" s="5"/>
      <c r="S759" s="5"/>
      <c r="T759" s="5"/>
      <c r="U759" s="5"/>
      <c r="V759" s="5"/>
      <c r="W759" s="5"/>
    </row>
    <row r="760" spans="1:23" ht="16" x14ac:dyDescent="0.2">
      <c r="A760" s="5"/>
      <c r="B760" s="6"/>
      <c r="C760" s="6"/>
      <c r="D760" s="6"/>
      <c r="E760" s="6"/>
      <c r="F760" s="5"/>
      <c r="G760" s="5"/>
      <c r="H760" s="5"/>
      <c r="I760" s="5"/>
      <c r="J760" s="5"/>
      <c r="K760" s="5"/>
      <c r="L760" s="5"/>
      <c r="M760" s="5"/>
      <c r="N760" s="5"/>
      <c r="O760" s="5"/>
      <c r="P760" s="5"/>
      <c r="Q760" s="5"/>
      <c r="R760" s="5"/>
      <c r="S760" s="5"/>
      <c r="T760" s="5"/>
      <c r="U760" s="5"/>
      <c r="V760" s="5"/>
      <c r="W760" s="5"/>
    </row>
    <row r="761" spans="1:23" ht="16" x14ac:dyDescent="0.2">
      <c r="A761" s="5"/>
      <c r="B761" s="6"/>
      <c r="C761" s="6"/>
      <c r="D761" s="6"/>
      <c r="E761" s="6"/>
      <c r="F761" s="5"/>
      <c r="G761" s="5"/>
      <c r="H761" s="5"/>
      <c r="I761" s="5"/>
      <c r="J761" s="5"/>
      <c r="K761" s="5"/>
      <c r="L761" s="5"/>
      <c r="M761" s="5"/>
      <c r="N761" s="5"/>
      <c r="O761" s="5"/>
      <c r="P761" s="5"/>
      <c r="Q761" s="5"/>
      <c r="R761" s="5"/>
      <c r="S761" s="5"/>
      <c r="T761" s="5"/>
      <c r="U761" s="5"/>
      <c r="V761" s="5"/>
      <c r="W761" s="5"/>
    </row>
    <row r="762" spans="1:23" ht="16" x14ac:dyDescent="0.2">
      <c r="A762" s="5"/>
      <c r="B762" s="6"/>
      <c r="C762" s="6"/>
      <c r="D762" s="6"/>
      <c r="E762" s="6"/>
      <c r="F762" s="5"/>
      <c r="G762" s="5"/>
      <c r="H762" s="5"/>
      <c r="I762" s="5"/>
      <c r="J762" s="5"/>
      <c r="K762" s="5"/>
      <c r="L762" s="5"/>
      <c r="M762" s="5"/>
      <c r="N762" s="5"/>
      <c r="O762" s="5"/>
      <c r="P762" s="5"/>
      <c r="Q762" s="5"/>
      <c r="R762" s="5"/>
      <c r="S762" s="5"/>
      <c r="T762" s="5"/>
      <c r="U762" s="5"/>
      <c r="V762" s="5"/>
      <c r="W762" s="5"/>
    </row>
    <row r="763" spans="1:23" ht="16" x14ac:dyDescent="0.2">
      <c r="A763" s="5"/>
      <c r="B763" s="6"/>
      <c r="C763" s="6"/>
      <c r="D763" s="6"/>
      <c r="E763" s="6"/>
      <c r="F763" s="5"/>
      <c r="G763" s="5"/>
      <c r="H763" s="5"/>
      <c r="I763" s="5"/>
      <c r="J763" s="5"/>
      <c r="K763" s="5"/>
      <c r="L763" s="5"/>
      <c r="M763" s="5"/>
      <c r="N763" s="5"/>
      <c r="O763" s="5"/>
      <c r="P763" s="5"/>
      <c r="Q763" s="5"/>
      <c r="R763" s="5"/>
      <c r="S763" s="5"/>
      <c r="T763" s="5"/>
      <c r="U763" s="5"/>
      <c r="V763" s="5"/>
      <c r="W763" s="5"/>
    </row>
    <row r="764" spans="1:23" ht="16" x14ac:dyDescent="0.2">
      <c r="A764" s="5"/>
      <c r="B764" s="6"/>
      <c r="C764" s="6"/>
      <c r="D764" s="6"/>
      <c r="E764" s="6"/>
      <c r="F764" s="5"/>
      <c r="G764" s="5"/>
      <c r="H764" s="5"/>
      <c r="I764" s="5"/>
      <c r="J764" s="5"/>
      <c r="K764" s="5"/>
      <c r="L764" s="5"/>
      <c r="M764" s="5"/>
      <c r="N764" s="5"/>
      <c r="O764" s="5"/>
      <c r="P764" s="5"/>
      <c r="Q764" s="5"/>
      <c r="R764" s="5"/>
      <c r="S764" s="5"/>
      <c r="T764" s="5"/>
      <c r="U764" s="5"/>
      <c r="V764" s="5"/>
      <c r="W764" s="5"/>
    </row>
    <row r="765" spans="1:23" ht="16" x14ac:dyDescent="0.2">
      <c r="A765" s="5"/>
      <c r="B765" s="6"/>
      <c r="C765" s="6"/>
      <c r="D765" s="6"/>
      <c r="E765" s="6"/>
      <c r="F765" s="5"/>
      <c r="G765" s="5"/>
      <c r="H765" s="5"/>
      <c r="I765" s="5"/>
      <c r="J765" s="5"/>
      <c r="K765" s="5"/>
      <c r="L765" s="5"/>
      <c r="M765" s="5"/>
      <c r="N765" s="5"/>
      <c r="O765" s="5"/>
      <c r="P765" s="5"/>
      <c r="Q765" s="5"/>
      <c r="R765" s="5"/>
      <c r="S765" s="5"/>
      <c r="T765" s="5"/>
      <c r="U765" s="5"/>
      <c r="V765" s="5"/>
      <c r="W765" s="5"/>
    </row>
    <row r="766" spans="1:23" ht="16" x14ac:dyDescent="0.2">
      <c r="A766" s="5"/>
      <c r="B766" s="6"/>
      <c r="C766" s="6"/>
      <c r="D766" s="6"/>
      <c r="E766" s="6"/>
      <c r="F766" s="5"/>
      <c r="G766" s="5"/>
      <c r="H766" s="5"/>
      <c r="I766" s="5"/>
      <c r="J766" s="5"/>
      <c r="K766" s="5"/>
      <c r="L766" s="5"/>
      <c r="M766" s="5"/>
      <c r="N766" s="5"/>
      <c r="O766" s="5"/>
      <c r="P766" s="5"/>
      <c r="Q766" s="5"/>
      <c r="R766" s="5"/>
      <c r="S766" s="5"/>
      <c r="T766" s="5"/>
      <c r="U766" s="5"/>
      <c r="V766" s="5"/>
      <c r="W766" s="5"/>
    </row>
    <row r="767" spans="1:23" ht="16" x14ac:dyDescent="0.2">
      <c r="A767" s="5"/>
      <c r="B767" s="6"/>
      <c r="C767" s="6"/>
      <c r="D767" s="6"/>
      <c r="E767" s="6"/>
      <c r="F767" s="5"/>
      <c r="G767" s="5"/>
      <c r="H767" s="5"/>
      <c r="I767" s="5"/>
      <c r="J767" s="5"/>
      <c r="K767" s="5"/>
      <c r="L767" s="5"/>
      <c r="M767" s="5"/>
      <c r="N767" s="5"/>
      <c r="O767" s="5"/>
      <c r="P767" s="5"/>
      <c r="Q767" s="5"/>
      <c r="R767" s="5"/>
      <c r="S767" s="5"/>
      <c r="T767" s="5"/>
      <c r="U767" s="5"/>
      <c r="V767" s="5"/>
      <c r="W767" s="5"/>
    </row>
    <row r="768" spans="1:23" ht="16" x14ac:dyDescent="0.2">
      <c r="A768" s="5"/>
      <c r="B768" s="6"/>
      <c r="C768" s="6"/>
      <c r="D768" s="6"/>
      <c r="E768" s="6"/>
      <c r="F768" s="5"/>
      <c r="G768" s="5"/>
      <c r="H768" s="5"/>
      <c r="I768" s="5"/>
      <c r="J768" s="5"/>
      <c r="K768" s="5"/>
      <c r="L768" s="5"/>
      <c r="M768" s="5"/>
      <c r="N768" s="5"/>
      <c r="O768" s="5"/>
      <c r="P768" s="5"/>
      <c r="Q768" s="5"/>
      <c r="R768" s="5"/>
      <c r="S768" s="5"/>
      <c r="T768" s="5"/>
      <c r="U768" s="5"/>
      <c r="V768" s="5"/>
      <c r="W768" s="5"/>
    </row>
    <row r="769" spans="1:23" ht="16" x14ac:dyDescent="0.2">
      <c r="A769" s="5"/>
      <c r="B769" s="6"/>
      <c r="C769" s="6"/>
      <c r="D769" s="6"/>
      <c r="E769" s="6"/>
      <c r="F769" s="5"/>
      <c r="G769" s="5"/>
      <c r="H769" s="5"/>
      <c r="I769" s="5"/>
      <c r="J769" s="5"/>
      <c r="K769" s="5"/>
      <c r="L769" s="5"/>
      <c r="M769" s="5"/>
      <c r="N769" s="5"/>
      <c r="O769" s="5"/>
      <c r="P769" s="5"/>
      <c r="Q769" s="5"/>
      <c r="R769" s="5"/>
      <c r="S769" s="5"/>
      <c r="T769" s="5"/>
      <c r="U769" s="5"/>
      <c r="V769" s="5"/>
      <c r="W769" s="5"/>
    </row>
    <row r="770" spans="1:23" ht="16" x14ac:dyDescent="0.2">
      <c r="A770" s="5"/>
      <c r="B770" s="6"/>
      <c r="C770" s="6"/>
      <c r="D770" s="6"/>
      <c r="E770" s="6"/>
      <c r="F770" s="5"/>
      <c r="G770" s="5"/>
      <c r="H770" s="5"/>
      <c r="I770" s="5"/>
      <c r="J770" s="5"/>
      <c r="K770" s="5"/>
      <c r="L770" s="5"/>
      <c r="M770" s="5"/>
      <c r="N770" s="5"/>
      <c r="O770" s="5"/>
      <c r="P770" s="5"/>
      <c r="Q770" s="5"/>
      <c r="R770" s="5"/>
      <c r="S770" s="5"/>
      <c r="T770" s="5"/>
      <c r="U770" s="5"/>
      <c r="V770" s="5"/>
      <c r="W770" s="5"/>
    </row>
    <row r="771" spans="1:23" ht="16" x14ac:dyDescent="0.2">
      <c r="A771" s="5"/>
      <c r="B771" s="6"/>
      <c r="C771" s="6"/>
      <c r="D771" s="6"/>
      <c r="E771" s="6"/>
      <c r="F771" s="5"/>
      <c r="G771" s="5"/>
      <c r="H771" s="5"/>
      <c r="I771" s="5"/>
      <c r="J771" s="5"/>
      <c r="K771" s="5"/>
      <c r="L771" s="5"/>
      <c r="M771" s="5"/>
      <c r="N771" s="5"/>
      <c r="O771" s="5"/>
      <c r="P771" s="5"/>
      <c r="Q771" s="5"/>
      <c r="R771" s="5"/>
      <c r="S771" s="5"/>
      <c r="T771" s="5"/>
      <c r="U771" s="5"/>
      <c r="V771" s="5"/>
      <c r="W771" s="5"/>
    </row>
    <row r="772" spans="1:23" ht="16" x14ac:dyDescent="0.2">
      <c r="A772" s="5"/>
      <c r="B772" s="6"/>
      <c r="C772" s="6"/>
      <c r="D772" s="6"/>
      <c r="E772" s="6"/>
      <c r="F772" s="5"/>
      <c r="G772" s="5"/>
      <c r="H772" s="5"/>
      <c r="I772" s="5"/>
      <c r="J772" s="5"/>
      <c r="K772" s="5"/>
      <c r="L772" s="5"/>
      <c r="M772" s="5"/>
      <c r="N772" s="5"/>
      <c r="O772" s="5"/>
      <c r="P772" s="5"/>
      <c r="Q772" s="5"/>
      <c r="R772" s="5"/>
      <c r="S772" s="5"/>
      <c r="T772" s="5"/>
      <c r="U772" s="5"/>
      <c r="V772" s="5"/>
      <c r="W772" s="5"/>
    </row>
    <row r="773" spans="1:23" ht="16" x14ac:dyDescent="0.2">
      <c r="A773" s="5"/>
      <c r="B773" s="6"/>
      <c r="C773" s="6"/>
      <c r="D773" s="6"/>
      <c r="E773" s="6"/>
      <c r="F773" s="5"/>
      <c r="G773" s="5"/>
      <c r="H773" s="5"/>
      <c r="I773" s="5"/>
      <c r="J773" s="5"/>
      <c r="K773" s="5"/>
      <c r="L773" s="5"/>
      <c r="M773" s="5"/>
      <c r="N773" s="5"/>
      <c r="O773" s="5"/>
      <c r="P773" s="5"/>
      <c r="Q773" s="5"/>
      <c r="R773" s="5"/>
      <c r="S773" s="5"/>
      <c r="T773" s="5"/>
      <c r="U773" s="5"/>
      <c r="V773" s="5"/>
      <c r="W773" s="5"/>
    </row>
    <row r="774" spans="1:23" ht="16" x14ac:dyDescent="0.2">
      <c r="A774" s="5"/>
      <c r="B774" s="6"/>
      <c r="C774" s="6"/>
      <c r="D774" s="6"/>
      <c r="E774" s="6"/>
      <c r="F774" s="5"/>
      <c r="G774" s="5"/>
      <c r="H774" s="5"/>
      <c r="I774" s="5"/>
      <c r="J774" s="5"/>
      <c r="K774" s="5"/>
      <c r="L774" s="5"/>
      <c r="M774" s="5"/>
      <c r="N774" s="5"/>
      <c r="O774" s="5"/>
      <c r="P774" s="5"/>
      <c r="Q774" s="5"/>
      <c r="R774" s="5"/>
      <c r="S774" s="5"/>
      <c r="T774" s="5"/>
      <c r="U774" s="5"/>
      <c r="V774" s="5"/>
      <c r="W774" s="5"/>
    </row>
    <row r="775" spans="1:23" ht="16" x14ac:dyDescent="0.2">
      <c r="A775" s="5"/>
      <c r="B775" s="6"/>
      <c r="C775" s="6"/>
      <c r="D775" s="6"/>
      <c r="E775" s="6"/>
      <c r="F775" s="5"/>
      <c r="G775" s="5"/>
      <c r="H775" s="5"/>
      <c r="I775" s="5"/>
      <c r="J775" s="5"/>
      <c r="K775" s="5"/>
      <c r="L775" s="5"/>
      <c r="M775" s="5"/>
      <c r="N775" s="5"/>
      <c r="O775" s="5"/>
      <c r="P775" s="5"/>
      <c r="Q775" s="5"/>
      <c r="R775" s="5"/>
      <c r="S775" s="5"/>
      <c r="T775" s="5"/>
      <c r="U775" s="5"/>
      <c r="V775" s="5"/>
      <c r="W775" s="5"/>
    </row>
    <row r="776" spans="1:23" ht="16" x14ac:dyDescent="0.2">
      <c r="A776" s="5"/>
      <c r="B776" s="6"/>
      <c r="C776" s="6"/>
      <c r="D776" s="6"/>
      <c r="E776" s="6"/>
      <c r="F776" s="5"/>
      <c r="G776" s="5"/>
      <c r="H776" s="5"/>
      <c r="I776" s="5"/>
      <c r="J776" s="5"/>
      <c r="K776" s="5"/>
      <c r="L776" s="5"/>
      <c r="M776" s="5"/>
      <c r="N776" s="5"/>
      <c r="O776" s="5"/>
      <c r="P776" s="5"/>
      <c r="Q776" s="5"/>
      <c r="R776" s="5"/>
      <c r="S776" s="5"/>
      <c r="T776" s="5"/>
      <c r="U776" s="5"/>
      <c r="V776" s="5"/>
      <c r="W776" s="5"/>
    </row>
    <row r="777" spans="1:23" ht="16" x14ac:dyDescent="0.2">
      <c r="A777" s="5"/>
      <c r="B777" s="6"/>
      <c r="C777" s="6"/>
      <c r="D777" s="6"/>
      <c r="E777" s="6"/>
      <c r="F777" s="5"/>
      <c r="G777" s="5"/>
      <c r="H777" s="5"/>
      <c r="I777" s="5"/>
      <c r="J777" s="5"/>
      <c r="K777" s="5"/>
      <c r="L777" s="5"/>
      <c r="M777" s="5"/>
      <c r="N777" s="5"/>
      <c r="O777" s="5"/>
      <c r="P777" s="5"/>
      <c r="Q777" s="5"/>
      <c r="R777" s="5"/>
      <c r="S777" s="5"/>
      <c r="T777" s="5"/>
      <c r="U777" s="5"/>
      <c r="V777" s="5"/>
      <c r="W777" s="5"/>
    </row>
    <row r="778" spans="1:23" ht="16" x14ac:dyDescent="0.2">
      <c r="A778" s="5"/>
      <c r="B778" s="6"/>
      <c r="C778" s="6"/>
      <c r="D778" s="6"/>
      <c r="E778" s="6"/>
      <c r="F778" s="5"/>
      <c r="G778" s="5"/>
      <c r="H778" s="5"/>
      <c r="I778" s="5"/>
      <c r="J778" s="5"/>
      <c r="K778" s="5"/>
      <c r="L778" s="5"/>
      <c r="M778" s="5"/>
      <c r="N778" s="5"/>
      <c r="O778" s="5"/>
      <c r="P778" s="5"/>
      <c r="Q778" s="5"/>
      <c r="R778" s="5"/>
      <c r="S778" s="5"/>
      <c r="T778" s="5"/>
      <c r="U778" s="5"/>
      <c r="V778" s="5"/>
      <c r="W778" s="5"/>
    </row>
    <row r="779" spans="1:23" ht="16" x14ac:dyDescent="0.2">
      <c r="A779" s="5"/>
      <c r="B779" s="6"/>
      <c r="C779" s="6"/>
      <c r="D779" s="6"/>
      <c r="E779" s="6"/>
      <c r="F779" s="5"/>
      <c r="G779" s="5"/>
      <c r="H779" s="5"/>
      <c r="I779" s="5"/>
      <c r="J779" s="5"/>
      <c r="K779" s="5"/>
      <c r="L779" s="5"/>
      <c r="M779" s="5"/>
      <c r="N779" s="5"/>
      <c r="O779" s="5"/>
      <c r="P779" s="5"/>
      <c r="Q779" s="5"/>
      <c r="R779" s="5"/>
      <c r="S779" s="5"/>
      <c r="T779" s="5"/>
      <c r="U779" s="5"/>
      <c r="V779" s="5"/>
      <c r="W779" s="5"/>
    </row>
    <row r="780" spans="1:23" ht="16" x14ac:dyDescent="0.2">
      <c r="A780" s="5"/>
      <c r="B780" s="6"/>
      <c r="C780" s="6"/>
      <c r="D780" s="6"/>
      <c r="E780" s="6"/>
      <c r="F780" s="5"/>
      <c r="G780" s="5"/>
      <c r="H780" s="5"/>
      <c r="I780" s="5"/>
      <c r="J780" s="5"/>
      <c r="K780" s="5"/>
      <c r="L780" s="5"/>
      <c r="M780" s="5"/>
      <c r="N780" s="5"/>
      <c r="O780" s="5"/>
      <c r="P780" s="5"/>
      <c r="Q780" s="5"/>
      <c r="R780" s="5"/>
      <c r="S780" s="5"/>
      <c r="T780" s="5"/>
      <c r="U780" s="5"/>
      <c r="V780" s="5"/>
      <c r="W780" s="5"/>
    </row>
    <row r="781" spans="1:23" ht="16" x14ac:dyDescent="0.2">
      <c r="A781" s="5"/>
      <c r="B781" s="6"/>
      <c r="C781" s="6"/>
      <c r="D781" s="6"/>
      <c r="E781" s="6"/>
      <c r="F781" s="5"/>
      <c r="G781" s="5"/>
      <c r="H781" s="5"/>
      <c r="I781" s="5"/>
      <c r="J781" s="5"/>
      <c r="K781" s="5"/>
      <c r="L781" s="5"/>
      <c r="M781" s="5"/>
      <c r="N781" s="5"/>
      <c r="O781" s="5"/>
      <c r="P781" s="5"/>
      <c r="Q781" s="5"/>
      <c r="R781" s="5"/>
      <c r="S781" s="5"/>
      <c r="T781" s="5"/>
      <c r="U781" s="5"/>
      <c r="V781" s="5"/>
      <c r="W781" s="5"/>
    </row>
    <row r="782" spans="1:23" ht="16" x14ac:dyDescent="0.2">
      <c r="A782" s="5"/>
      <c r="B782" s="6"/>
      <c r="C782" s="6"/>
      <c r="D782" s="6"/>
      <c r="E782" s="6"/>
      <c r="F782" s="5"/>
      <c r="G782" s="5"/>
      <c r="H782" s="5"/>
      <c r="I782" s="5"/>
      <c r="J782" s="5"/>
      <c r="K782" s="5"/>
      <c r="L782" s="5"/>
      <c r="M782" s="5"/>
      <c r="N782" s="5"/>
      <c r="O782" s="5"/>
      <c r="P782" s="5"/>
      <c r="Q782" s="5"/>
      <c r="R782" s="5"/>
      <c r="S782" s="5"/>
      <c r="T782" s="5"/>
      <c r="U782" s="5"/>
      <c r="V782" s="5"/>
      <c r="W782" s="5"/>
    </row>
    <row r="783" spans="1:23" ht="16" x14ac:dyDescent="0.2">
      <c r="A783" s="5"/>
      <c r="B783" s="6"/>
      <c r="C783" s="6"/>
      <c r="D783" s="6"/>
      <c r="E783" s="6"/>
      <c r="F783" s="5"/>
      <c r="G783" s="5"/>
      <c r="H783" s="5"/>
      <c r="I783" s="5"/>
      <c r="J783" s="5"/>
      <c r="K783" s="5"/>
      <c r="L783" s="5"/>
      <c r="M783" s="5"/>
      <c r="N783" s="5"/>
      <c r="O783" s="5"/>
      <c r="P783" s="5"/>
      <c r="Q783" s="5"/>
      <c r="R783" s="5"/>
      <c r="S783" s="5"/>
      <c r="T783" s="5"/>
      <c r="U783" s="5"/>
      <c r="V783" s="5"/>
      <c r="W783" s="5"/>
    </row>
    <row r="784" spans="1:23" ht="16" x14ac:dyDescent="0.2">
      <c r="A784" s="5"/>
      <c r="B784" s="6"/>
      <c r="C784" s="6"/>
      <c r="D784" s="6"/>
      <c r="E784" s="6"/>
      <c r="F784" s="5"/>
      <c r="G784" s="5"/>
      <c r="H784" s="5"/>
      <c r="I784" s="5"/>
      <c r="J784" s="5"/>
      <c r="K784" s="5"/>
      <c r="L784" s="5"/>
      <c r="M784" s="5"/>
      <c r="N784" s="5"/>
      <c r="O784" s="5"/>
      <c r="P784" s="5"/>
      <c r="Q784" s="5"/>
      <c r="R784" s="5"/>
      <c r="S784" s="5"/>
      <c r="T784" s="5"/>
      <c r="U784" s="5"/>
      <c r="V784" s="5"/>
      <c r="W784" s="5"/>
    </row>
    <row r="785" spans="1:23" ht="16" x14ac:dyDescent="0.2">
      <c r="A785" s="5"/>
      <c r="B785" s="6"/>
      <c r="C785" s="6"/>
      <c r="D785" s="6"/>
      <c r="E785" s="6"/>
      <c r="F785" s="5"/>
      <c r="G785" s="5"/>
      <c r="H785" s="5"/>
      <c r="I785" s="5"/>
      <c r="J785" s="5"/>
      <c r="K785" s="5"/>
      <c r="L785" s="5"/>
      <c r="M785" s="5"/>
      <c r="N785" s="5"/>
      <c r="O785" s="5"/>
      <c r="P785" s="5"/>
      <c r="Q785" s="5"/>
      <c r="R785" s="5"/>
      <c r="S785" s="5"/>
      <c r="T785" s="5"/>
      <c r="U785" s="5"/>
      <c r="V785" s="5"/>
      <c r="W785" s="5"/>
    </row>
    <row r="786" spans="1:23" ht="16" x14ac:dyDescent="0.2">
      <c r="A786" s="5"/>
      <c r="B786" s="6"/>
      <c r="C786" s="6"/>
      <c r="D786" s="6"/>
      <c r="E786" s="6"/>
      <c r="F786" s="5"/>
      <c r="G786" s="5"/>
      <c r="H786" s="5"/>
      <c r="I786" s="5"/>
      <c r="J786" s="5"/>
      <c r="K786" s="5"/>
      <c r="L786" s="5"/>
      <c r="M786" s="5"/>
      <c r="N786" s="5"/>
      <c r="O786" s="5"/>
      <c r="P786" s="5"/>
      <c r="Q786" s="5"/>
      <c r="R786" s="5"/>
      <c r="S786" s="5"/>
      <c r="T786" s="5"/>
      <c r="U786" s="5"/>
      <c r="V786" s="5"/>
      <c r="W786" s="5"/>
    </row>
    <row r="787" spans="1:23" ht="16" x14ac:dyDescent="0.2">
      <c r="A787" s="5"/>
      <c r="B787" s="6"/>
      <c r="C787" s="6"/>
      <c r="D787" s="6"/>
      <c r="E787" s="6"/>
      <c r="F787" s="5"/>
      <c r="G787" s="5"/>
      <c r="H787" s="5"/>
      <c r="I787" s="5"/>
      <c r="J787" s="5"/>
      <c r="K787" s="5"/>
      <c r="L787" s="5"/>
      <c r="M787" s="5"/>
      <c r="N787" s="5"/>
      <c r="O787" s="5"/>
      <c r="P787" s="5"/>
      <c r="Q787" s="5"/>
      <c r="R787" s="5"/>
      <c r="S787" s="5"/>
      <c r="T787" s="5"/>
      <c r="U787" s="5"/>
      <c r="V787" s="5"/>
      <c r="W787" s="5"/>
    </row>
    <row r="788" spans="1:23" ht="16" x14ac:dyDescent="0.2">
      <c r="A788" s="5"/>
      <c r="B788" s="6"/>
      <c r="C788" s="6"/>
      <c r="D788" s="6"/>
      <c r="E788" s="6"/>
      <c r="F788" s="5"/>
      <c r="G788" s="5"/>
      <c r="H788" s="5"/>
      <c r="I788" s="5"/>
      <c r="J788" s="5"/>
      <c r="K788" s="5"/>
      <c r="L788" s="5"/>
      <c r="M788" s="5"/>
      <c r="N788" s="5"/>
      <c r="O788" s="5"/>
      <c r="P788" s="5"/>
      <c r="Q788" s="5"/>
      <c r="R788" s="5"/>
      <c r="S788" s="5"/>
      <c r="T788" s="5"/>
      <c r="U788" s="5"/>
      <c r="V788" s="5"/>
      <c r="W788" s="5"/>
    </row>
    <row r="789" spans="1:23" ht="16" x14ac:dyDescent="0.2">
      <c r="A789" s="5"/>
      <c r="B789" s="6"/>
      <c r="C789" s="6"/>
      <c r="D789" s="6"/>
      <c r="E789" s="6"/>
      <c r="F789" s="5"/>
      <c r="G789" s="5"/>
      <c r="H789" s="5"/>
      <c r="I789" s="5"/>
      <c r="J789" s="5"/>
      <c r="K789" s="5"/>
      <c r="L789" s="5"/>
      <c r="M789" s="5"/>
      <c r="N789" s="5"/>
      <c r="O789" s="5"/>
      <c r="P789" s="5"/>
      <c r="Q789" s="5"/>
      <c r="R789" s="5"/>
      <c r="S789" s="5"/>
      <c r="T789" s="5"/>
      <c r="U789" s="5"/>
      <c r="V789" s="5"/>
      <c r="W789" s="5"/>
    </row>
    <row r="790" spans="1:23" ht="16" x14ac:dyDescent="0.2">
      <c r="A790" s="5"/>
      <c r="B790" s="6"/>
      <c r="C790" s="6"/>
      <c r="D790" s="6"/>
      <c r="E790" s="6"/>
      <c r="F790" s="5"/>
      <c r="G790" s="5"/>
      <c r="H790" s="5"/>
      <c r="I790" s="5"/>
      <c r="J790" s="5"/>
      <c r="K790" s="5"/>
      <c r="L790" s="5"/>
      <c r="M790" s="5"/>
      <c r="N790" s="5"/>
      <c r="O790" s="5"/>
      <c r="P790" s="5"/>
      <c r="Q790" s="5"/>
      <c r="R790" s="5"/>
      <c r="S790" s="5"/>
      <c r="T790" s="5"/>
      <c r="U790" s="5"/>
      <c r="V790" s="5"/>
      <c r="W790" s="5"/>
    </row>
    <row r="791" spans="1:23" ht="16" x14ac:dyDescent="0.2">
      <c r="A791" s="5"/>
      <c r="B791" s="6"/>
      <c r="C791" s="6"/>
      <c r="D791" s="6"/>
      <c r="E791" s="6"/>
      <c r="F791" s="5"/>
      <c r="G791" s="5"/>
      <c r="H791" s="5"/>
      <c r="I791" s="5"/>
      <c r="J791" s="5"/>
      <c r="K791" s="5"/>
      <c r="L791" s="5"/>
      <c r="M791" s="5"/>
      <c r="N791" s="5"/>
      <c r="O791" s="5"/>
      <c r="P791" s="5"/>
      <c r="Q791" s="5"/>
      <c r="R791" s="5"/>
      <c r="S791" s="5"/>
      <c r="T791" s="5"/>
      <c r="U791" s="5"/>
      <c r="V791" s="5"/>
      <c r="W791" s="5"/>
    </row>
    <row r="792" spans="1:23" ht="16" x14ac:dyDescent="0.2">
      <c r="A792" s="5"/>
      <c r="B792" s="6"/>
      <c r="C792" s="6"/>
      <c r="D792" s="6"/>
      <c r="E792" s="6"/>
      <c r="F792" s="5"/>
      <c r="G792" s="5"/>
      <c r="H792" s="5"/>
      <c r="I792" s="5"/>
      <c r="J792" s="5"/>
      <c r="K792" s="5"/>
      <c r="L792" s="5"/>
      <c r="M792" s="5"/>
      <c r="N792" s="5"/>
      <c r="O792" s="5"/>
      <c r="P792" s="5"/>
      <c r="Q792" s="5"/>
      <c r="R792" s="5"/>
      <c r="S792" s="5"/>
      <c r="T792" s="5"/>
      <c r="U792" s="5"/>
      <c r="V792" s="5"/>
      <c r="W792" s="5"/>
    </row>
    <row r="793" spans="1:23" ht="16" x14ac:dyDescent="0.2">
      <c r="A793" s="5"/>
      <c r="B793" s="6"/>
      <c r="C793" s="6"/>
      <c r="D793" s="6"/>
      <c r="E793" s="6"/>
      <c r="F793" s="5"/>
      <c r="G793" s="5"/>
      <c r="H793" s="5"/>
      <c r="I793" s="5"/>
      <c r="J793" s="5"/>
      <c r="K793" s="5"/>
      <c r="L793" s="5"/>
      <c r="M793" s="5"/>
      <c r="N793" s="5"/>
      <c r="O793" s="5"/>
      <c r="P793" s="5"/>
      <c r="Q793" s="5"/>
      <c r="R793" s="5"/>
      <c r="S793" s="5"/>
      <c r="T793" s="5"/>
      <c r="U793" s="5"/>
      <c r="V793" s="5"/>
      <c r="W793" s="5"/>
    </row>
    <row r="794" spans="1:23" ht="16" x14ac:dyDescent="0.2">
      <c r="A794" s="5"/>
      <c r="B794" s="6"/>
      <c r="C794" s="6"/>
      <c r="D794" s="6"/>
      <c r="E794" s="6"/>
      <c r="F794" s="5"/>
      <c r="G794" s="5"/>
      <c r="H794" s="5"/>
      <c r="I794" s="5"/>
      <c r="J794" s="5"/>
      <c r="K794" s="5"/>
      <c r="L794" s="5"/>
      <c r="M794" s="5"/>
      <c r="N794" s="5"/>
      <c r="O794" s="5"/>
      <c r="P794" s="5"/>
      <c r="Q794" s="5"/>
      <c r="R794" s="5"/>
      <c r="S794" s="5"/>
      <c r="T794" s="5"/>
      <c r="U794" s="5"/>
      <c r="V794" s="5"/>
      <c r="W794" s="5"/>
    </row>
    <row r="795" spans="1:23" ht="16" x14ac:dyDescent="0.2">
      <c r="A795" s="5"/>
      <c r="B795" s="6"/>
      <c r="C795" s="6"/>
      <c r="D795" s="6"/>
      <c r="E795" s="6"/>
      <c r="F795" s="5"/>
      <c r="G795" s="5"/>
      <c r="H795" s="5"/>
      <c r="I795" s="5"/>
      <c r="J795" s="5"/>
      <c r="K795" s="5"/>
      <c r="L795" s="5"/>
      <c r="M795" s="5"/>
      <c r="N795" s="5"/>
      <c r="O795" s="5"/>
      <c r="P795" s="5"/>
      <c r="Q795" s="5"/>
      <c r="R795" s="5"/>
      <c r="S795" s="5"/>
      <c r="T795" s="5"/>
      <c r="U795" s="5"/>
      <c r="V795" s="5"/>
      <c r="W795" s="5"/>
    </row>
    <row r="796" spans="1:23" ht="16" x14ac:dyDescent="0.2">
      <c r="A796" s="5"/>
      <c r="B796" s="6"/>
      <c r="C796" s="6"/>
      <c r="D796" s="6"/>
      <c r="E796" s="6"/>
      <c r="F796" s="5"/>
      <c r="G796" s="5"/>
      <c r="H796" s="5"/>
      <c r="I796" s="5"/>
      <c r="J796" s="5"/>
      <c r="K796" s="5"/>
      <c r="L796" s="5"/>
      <c r="M796" s="5"/>
      <c r="N796" s="5"/>
      <c r="O796" s="5"/>
      <c r="P796" s="5"/>
      <c r="Q796" s="5"/>
      <c r="R796" s="5"/>
      <c r="S796" s="5"/>
      <c r="T796" s="5"/>
      <c r="U796" s="5"/>
      <c r="V796" s="5"/>
      <c r="W796" s="5"/>
    </row>
    <row r="797" spans="1:23" ht="16" x14ac:dyDescent="0.2">
      <c r="A797" s="5"/>
      <c r="B797" s="6"/>
      <c r="C797" s="6"/>
      <c r="D797" s="6"/>
      <c r="E797" s="6"/>
      <c r="F797" s="5"/>
      <c r="G797" s="5"/>
      <c r="H797" s="5"/>
      <c r="I797" s="5"/>
      <c r="J797" s="5"/>
      <c r="K797" s="5"/>
      <c r="L797" s="5"/>
      <c r="M797" s="5"/>
      <c r="N797" s="5"/>
      <c r="O797" s="5"/>
      <c r="P797" s="5"/>
      <c r="Q797" s="5"/>
      <c r="R797" s="5"/>
      <c r="S797" s="5"/>
      <c r="T797" s="5"/>
      <c r="U797" s="5"/>
      <c r="V797" s="5"/>
      <c r="W797" s="5"/>
    </row>
    <row r="798" spans="1:23" ht="16" x14ac:dyDescent="0.2">
      <c r="A798" s="5"/>
      <c r="B798" s="6"/>
      <c r="C798" s="6"/>
      <c r="D798" s="6"/>
      <c r="E798" s="6"/>
      <c r="F798" s="5"/>
      <c r="G798" s="5"/>
      <c r="H798" s="5"/>
      <c r="I798" s="5"/>
      <c r="J798" s="5"/>
      <c r="K798" s="5"/>
      <c r="L798" s="5"/>
      <c r="M798" s="5"/>
      <c r="N798" s="5"/>
      <c r="O798" s="5"/>
      <c r="P798" s="5"/>
      <c r="Q798" s="5"/>
      <c r="R798" s="5"/>
      <c r="S798" s="5"/>
      <c r="T798" s="5"/>
      <c r="U798" s="5"/>
      <c r="V798" s="5"/>
      <c r="W798" s="5"/>
    </row>
    <row r="799" spans="1:23" ht="16" x14ac:dyDescent="0.2">
      <c r="A799" s="5"/>
      <c r="B799" s="6"/>
      <c r="C799" s="6"/>
      <c r="D799" s="6"/>
      <c r="E799" s="6"/>
      <c r="F799" s="5"/>
      <c r="G799" s="5"/>
      <c r="H799" s="5"/>
      <c r="I799" s="5"/>
      <c r="J799" s="5"/>
      <c r="K799" s="5"/>
      <c r="L799" s="5"/>
      <c r="M799" s="5"/>
      <c r="N799" s="5"/>
      <c r="O799" s="5"/>
      <c r="P799" s="5"/>
      <c r="Q799" s="5"/>
      <c r="R799" s="5"/>
      <c r="S799" s="5"/>
      <c r="T799" s="5"/>
      <c r="U799" s="5"/>
      <c r="V799" s="5"/>
      <c r="W799" s="5"/>
    </row>
    <row r="800" spans="1:23" ht="16" x14ac:dyDescent="0.2">
      <c r="A800" s="5"/>
      <c r="B800" s="6"/>
      <c r="C800" s="6"/>
      <c r="D800" s="6"/>
      <c r="E800" s="6"/>
      <c r="F800" s="5"/>
      <c r="G800" s="5"/>
      <c r="H800" s="5"/>
      <c r="I800" s="5"/>
      <c r="J800" s="5"/>
      <c r="K800" s="5"/>
      <c r="L800" s="5"/>
      <c r="M800" s="5"/>
      <c r="N800" s="5"/>
      <c r="O800" s="5"/>
      <c r="P800" s="5"/>
      <c r="Q800" s="5"/>
      <c r="R800" s="5"/>
      <c r="S800" s="5"/>
      <c r="T800" s="5"/>
      <c r="U800" s="5"/>
      <c r="V800" s="5"/>
      <c r="W800" s="5"/>
    </row>
    <row r="801" spans="1:23" ht="16" x14ac:dyDescent="0.2">
      <c r="A801" s="5"/>
      <c r="B801" s="6"/>
      <c r="C801" s="6"/>
      <c r="D801" s="6"/>
      <c r="E801" s="6"/>
      <c r="F801" s="5"/>
      <c r="G801" s="5"/>
      <c r="H801" s="5"/>
      <c r="I801" s="5"/>
      <c r="J801" s="5"/>
      <c r="K801" s="5"/>
      <c r="L801" s="5"/>
      <c r="M801" s="5"/>
      <c r="N801" s="5"/>
      <c r="O801" s="5"/>
      <c r="P801" s="5"/>
      <c r="Q801" s="5"/>
      <c r="R801" s="5"/>
      <c r="S801" s="5"/>
      <c r="T801" s="5"/>
      <c r="U801" s="5"/>
      <c r="V801" s="5"/>
      <c r="W801" s="5"/>
    </row>
    <row r="802" spans="1:23" ht="16" x14ac:dyDescent="0.2">
      <c r="A802" s="5"/>
      <c r="B802" s="6"/>
      <c r="C802" s="6"/>
      <c r="D802" s="6"/>
      <c r="E802" s="6"/>
      <c r="F802" s="5"/>
      <c r="G802" s="5"/>
      <c r="H802" s="5"/>
      <c r="I802" s="5"/>
      <c r="J802" s="5"/>
      <c r="K802" s="5"/>
      <c r="L802" s="5"/>
      <c r="M802" s="5"/>
      <c r="N802" s="5"/>
      <c r="O802" s="5"/>
      <c r="P802" s="5"/>
      <c r="Q802" s="5"/>
      <c r="R802" s="5"/>
      <c r="S802" s="5"/>
      <c r="T802" s="5"/>
      <c r="U802" s="5"/>
      <c r="V802" s="5"/>
      <c r="W802" s="5"/>
    </row>
    <row r="803" spans="1:23" ht="16" x14ac:dyDescent="0.2">
      <c r="A803" s="5"/>
      <c r="B803" s="6"/>
      <c r="C803" s="6"/>
      <c r="D803" s="6"/>
      <c r="E803" s="6"/>
      <c r="F803" s="5"/>
      <c r="G803" s="5"/>
      <c r="H803" s="5"/>
      <c r="I803" s="5"/>
      <c r="J803" s="5"/>
      <c r="K803" s="5"/>
      <c r="L803" s="5"/>
      <c r="M803" s="5"/>
      <c r="N803" s="5"/>
      <c r="O803" s="5"/>
      <c r="P803" s="5"/>
      <c r="Q803" s="5"/>
      <c r="R803" s="5"/>
      <c r="S803" s="5"/>
      <c r="T803" s="5"/>
      <c r="U803" s="5"/>
      <c r="V803" s="5"/>
      <c r="W803" s="5"/>
    </row>
    <row r="804" spans="1:23" ht="16" x14ac:dyDescent="0.2">
      <c r="A804" s="5"/>
      <c r="B804" s="6"/>
      <c r="C804" s="6"/>
      <c r="D804" s="6"/>
      <c r="E804" s="6"/>
      <c r="F804" s="5"/>
      <c r="G804" s="5"/>
      <c r="H804" s="5"/>
      <c r="I804" s="5"/>
      <c r="J804" s="5"/>
      <c r="K804" s="5"/>
      <c r="L804" s="5"/>
      <c r="M804" s="5"/>
      <c r="N804" s="5"/>
      <c r="O804" s="5"/>
      <c r="P804" s="5"/>
      <c r="Q804" s="5"/>
      <c r="R804" s="5"/>
      <c r="S804" s="5"/>
      <c r="T804" s="5"/>
      <c r="U804" s="5"/>
      <c r="V804" s="5"/>
      <c r="W804" s="5"/>
    </row>
    <row r="805" spans="1:23" ht="16" x14ac:dyDescent="0.2">
      <c r="A805" s="5"/>
      <c r="B805" s="6"/>
      <c r="C805" s="6"/>
      <c r="D805" s="6"/>
      <c r="E805" s="6"/>
      <c r="F805" s="5"/>
      <c r="G805" s="5"/>
      <c r="H805" s="5"/>
      <c r="I805" s="5"/>
      <c r="J805" s="5"/>
      <c r="K805" s="5"/>
      <c r="L805" s="5"/>
      <c r="M805" s="5"/>
      <c r="N805" s="5"/>
      <c r="O805" s="5"/>
      <c r="P805" s="5"/>
      <c r="Q805" s="5"/>
      <c r="R805" s="5"/>
      <c r="S805" s="5"/>
      <c r="T805" s="5"/>
      <c r="U805" s="5"/>
      <c r="V805" s="5"/>
      <c r="W805" s="5"/>
    </row>
    <row r="806" spans="1:23" ht="16" x14ac:dyDescent="0.2">
      <c r="A806" s="5"/>
      <c r="B806" s="6"/>
      <c r="C806" s="6"/>
      <c r="D806" s="6"/>
      <c r="E806" s="6"/>
      <c r="F806" s="5"/>
      <c r="G806" s="5"/>
      <c r="H806" s="5"/>
      <c r="I806" s="5"/>
      <c r="J806" s="5"/>
      <c r="K806" s="5"/>
      <c r="L806" s="5"/>
      <c r="M806" s="5"/>
      <c r="N806" s="5"/>
      <c r="O806" s="5"/>
      <c r="P806" s="5"/>
      <c r="Q806" s="5"/>
      <c r="R806" s="5"/>
      <c r="S806" s="5"/>
      <c r="T806" s="5"/>
      <c r="U806" s="5"/>
      <c r="V806" s="5"/>
      <c r="W806" s="5"/>
    </row>
    <row r="807" spans="1:23" ht="16" x14ac:dyDescent="0.2">
      <c r="A807" s="5"/>
      <c r="B807" s="6"/>
      <c r="C807" s="6"/>
      <c r="D807" s="6"/>
      <c r="E807" s="6"/>
      <c r="F807" s="5"/>
      <c r="G807" s="5"/>
      <c r="H807" s="5"/>
      <c r="I807" s="5"/>
      <c r="J807" s="5"/>
      <c r="K807" s="5"/>
      <c r="L807" s="5"/>
      <c r="M807" s="5"/>
      <c r="N807" s="5"/>
      <c r="O807" s="5"/>
      <c r="P807" s="5"/>
      <c r="Q807" s="5"/>
      <c r="R807" s="5"/>
      <c r="S807" s="5"/>
      <c r="T807" s="5"/>
      <c r="U807" s="5"/>
      <c r="V807" s="5"/>
      <c r="W807" s="5"/>
    </row>
    <row r="808" spans="1:23" ht="16" x14ac:dyDescent="0.2">
      <c r="A808" s="5"/>
      <c r="B808" s="6"/>
      <c r="C808" s="6"/>
      <c r="D808" s="6"/>
      <c r="E808" s="6"/>
      <c r="F808" s="5"/>
      <c r="G808" s="5"/>
      <c r="H808" s="5"/>
      <c r="I808" s="5"/>
      <c r="J808" s="5"/>
      <c r="K808" s="5"/>
      <c r="L808" s="5"/>
      <c r="M808" s="5"/>
      <c r="N808" s="5"/>
      <c r="O808" s="5"/>
      <c r="P808" s="5"/>
      <c r="Q808" s="5"/>
      <c r="R808" s="5"/>
      <c r="S808" s="5"/>
      <c r="T808" s="5"/>
      <c r="U808" s="5"/>
      <c r="V808" s="5"/>
      <c r="W808" s="5"/>
    </row>
    <row r="809" spans="1:23" ht="16" x14ac:dyDescent="0.2">
      <c r="A809" s="5"/>
      <c r="B809" s="6"/>
      <c r="C809" s="6"/>
      <c r="D809" s="6"/>
      <c r="E809" s="6"/>
      <c r="F809" s="5"/>
      <c r="G809" s="5"/>
      <c r="H809" s="5"/>
      <c r="I809" s="5"/>
      <c r="J809" s="5"/>
      <c r="K809" s="5"/>
      <c r="L809" s="5"/>
      <c r="M809" s="5"/>
      <c r="N809" s="5"/>
      <c r="O809" s="5"/>
      <c r="P809" s="5"/>
      <c r="Q809" s="5"/>
      <c r="R809" s="5"/>
      <c r="S809" s="5"/>
      <c r="T809" s="5"/>
      <c r="U809" s="5"/>
      <c r="V809" s="5"/>
      <c r="W809" s="5"/>
    </row>
    <row r="810" spans="1:23" ht="16" x14ac:dyDescent="0.2">
      <c r="A810" s="5"/>
      <c r="B810" s="6"/>
      <c r="C810" s="6"/>
      <c r="D810" s="6"/>
      <c r="E810" s="6"/>
      <c r="F810" s="5"/>
      <c r="G810" s="5"/>
      <c r="H810" s="5"/>
      <c r="I810" s="5"/>
      <c r="J810" s="5"/>
      <c r="K810" s="5"/>
      <c r="L810" s="5"/>
      <c r="M810" s="5"/>
      <c r="N810" s="5"/>
      <c r="O810" s="5"/>
      <c r="P810" s="5"/>
      <c r="Q810" s="5"/>
      <c r="R810" s="5"/>
      <c r="S810" s="5"/>
      <c r="T810" s="5"/>
      <c r="U810" s="5"/>
      <c r="V810" s="5"/>
      <c r="W810" s="5"/>
    </row>
    <row r="811" spans="1:23" ht="16" x14ac:dyDescent="0.2">
      <c r="A811" s="5"/>
      <c r="B811" s="6"/>
      <c r="C811" s="6"/>
      <c r="D811" s="6"/>
      <c r="E811" s="6"/>
      <c r="F811" s="5"/>
      <c r="G811" s="5"/>
      <c r="H811" s="5"/>
      <c r="I811" s="5"/>
      <c r="J811" s="5"/>
      <c r="K811" s="5"/>
      <c r="L811" s="5"/>
      <c r="M811" s="5"/>
      <c r="N811" s="5"/>
      <c r="O811" s="5"/>
      <c r="P811" s="5"/>
      <c r="Q811" s="5"/>
      <c r="R811" s="5"/>
      <c r="S811" s="5"/>
      <c r="T811" s="5"/>
      <c r="U811" s="5"/>
      <c r="V811" s="5"/>
      <c r="W811" s="5"/>
    </row>
    <row r="812" spans="1:23" ht="16" x14ac:dyDescent="0.2">
      <c r="A812" s="5"/>
      <c r="B812" s="6"/>
      <c r="C812" s="6"/>
      <c r="D812" s="6"/>
      <c r="E812" s="6"/>
      <c r="F812" s="5"/>
      <c r="G812" s="5"/>
      <c r="H812" s="5"/>
      <c r="I812" s="5"/>
      <c r="J812" s="5"/>
      <c r="K812" s="5"/>
      <c r="L812" s="5"/>
      <c r="M812" s="5"/>
      <c r="N812" s="5"/>
      <c r="O812" s="5"/>
      <c r="P812" s="5"/>
      <c r="Q812" s="5"/>
      <c r="R812" s="5"/>
      <c r="S812" s="5"/>
      <c r="T812" s="5"/>
      <c r="U812" s="5"/>
      <c r="V812" s="5"/>
      <c r="W812" s="5"/>
    </row>
    <row r="813" spans="1:23" ht="16" x14ac:dyDescent="0.2">
      <c r="A813" s="5"/>
      <c r="B813" s="6"/>
      <c r="C813" s="6"/>
      <c r="D813" s="6"/>
      <c r="E813" s="6"/>
      <c r="F813" s="5"/>
      <c r="G813" s="5"/>
      <c r="H813" s="5"/>
      <c r="I813" s="5"/>
      <c r="J813" s="5"/>
      <c r="K813" s="5"/>
      <c r="L813" s="5"/>
      <c r="M813" s="5"/>
      <c r="N813" s="5"/>
      <c r="O813" s="5"/>
      <c r="P813" s="5"/>
      <c r="Q813" s="5"/>
      <c r="R813" s="5"/>
      <c r="S813" s="5"/>
      <c r="T813" s="5"/>
      <c r="U813" s="5"/>
      <c r="V813" s="5"/>
      <c r="W813" s="5"/>
    </row>
    <row r="814" spans="1:23" ht="16" x14ac:dyDescent="0.2">
      <c r="A814" s="5"/>
      <c r="B814" s="6"/>
      <c r="C814" s="6"/>
      <c r="D814" s="6"/>
      <c r="E814" s="6"/>
      <c r="F814" s="5"/>
      <c r="G814" s="5"/>
      <c r="H814" s="5"/>
      <c r="I814" s="5"/>
      <c r="J814" s="5"/>
      <c r="K814" s="5"/>
      <c r="L814" s="5"/>
      <c r="M814" s="5"/>
      <c r="N814" s="5"/>
      <c r="O814" s="5"/>
      <c r="P814" s="5"/>
      <c r="Q814" s="5"/>
      <c r="R814" s="5"/>
      <c r="S814" s="5"/>
      <c r="T814" s="5"/>
      <c r="U814" s="5"/>
      <c r="V814" s="5"/>
      <c r="W814" s="5"/>
    </row>
    <row r="815" spans="1:23" ht="16" x14ac:dyDescent="0.2">
      <c r="A815" s="5"/>
      <c r="B815" s="6"/>
      <c r="C815" s="6"/>
      <c r="D815" s="6"/>
      <c r="E815" s="6"/>
      <c r="F815" s="5"/>
      <c r="G815" s="5"/>
      <c r="H815" s="5"/>
      <c r="I815" s="5"/>
      <c r="J815" s="5"/>
      <c r="K815" s="5"/>
      <c r="L815" s="5"/>
      <c r="M815" s="5"/>
      <c r="N815" s="5"/>
      <c r="O815" s="5"/>
      <c r="P815" s="5"/>
      <c r="Q815" s="5"/>
      <c r="R815" s="5"/>
      <c r="S815" s="5"/>
      <c r="T815" s="5"/>
      <c r="U815" s="5"/>
      <c r="V815" s="5"/>
      <c r="W815" s="5"/>
    </row>
    <row r="816" spans="1:23" ht="16" x14ac:dyDescent="0.2">
      <c r="A816" s="5"/>
      <c r="B816" s="6"/>
      <c r="C816" s="6"/>
      <c r="D816" s="6"/>
      <c r="E816" s="6"/>
      <c r="F816" s="5"/>
      <c r="G816" s="5"/>
      <c r="H816" s="5"/>
      <c r="I816" s="5"/>
      <c r="J816" s="5"/>
      <c r="K816" s="5"/>
      <c r="L816" s="5"/>
      <c r="M816" s="5"/>
      <c r="N816" s="5"/>
      <c r="O816" s="5"/>
      <c r="P816" s="5"/>
      <c r="Q816" s="5"/>
      <c r="R816" s="5"/>
      <c r="S816" s="5"/>
      <c r="T816" s="5"/>
      <c r="U816" s="5"/>
      <c r="V816" s="5"/>
      <c r="W816" s="5"/>
    </row>
    <row r="817" spans="1:23" ht="16" x14ac:dyDescent="0.2">
      <c r="A817" s="5"/>
      <c r="B817" s="6"/>
      <c r="C817" s="6"/>
      <c r="D817" s="6"/>
      <c r="E817" s="6"/>
      <c r="F817" s="5"/>
      <c r="G817" s="5"/>
      <c r="H817" s="5"/>
      <c r="I817" s="5"/>
      <c r="J817" s="5"/>
      <c r="K817" s="5"/>
      <c r="L817" s="5"/>
      <c r="M817" s="5"/>
      <c r="N817" s="5"/>
      <c r="O817" s="5"/>
      <c r="P817" s="5"/>
      <c r="Q817" s="5"/>
      <c r="R817" s="5"/>
      <c r="S817" s="5"/>
      <c r="T817" s="5"/>
      <c r="U817" s="5"/>
      <c r="V817" s="5"/>
      <c r="W817" s="5"/>
    </row>
    <row r="818" spans="1:23" ht="16" x14ac:dyDescent="0.2">
      <c r="A818" s="5"/>
      <c r="B818" s="6"/>
      <c r="C818" s="6"/>
      <c r="D818" s="6"/>
      <c r="E818" s="6"/>
      <c r="F818" s="5"/>
      <c r="G818" s="5"/>
      <c r="H818" s="5"/>
      <c r="I818" s="5"/>
      <c r="J818" s="5"/>
      <c r="K818" s="5"/>
      <c r="L818" s="5"/>
      <c r="M818" s="5"/>
      <c r="N818" s="5"/>
      <c r="O818" s="5"/>
      <c r="P818" s="5"/>
      <c r="Q818" s="5"/>
      <c r="R818" s="5"/>
      <c r="S818" s="5"/>
      <c r="T818" s="5"/>
      <c r="U818" s="5"/>
      <c r="V818" s="5"/>
      <c r="W818" s="5"/>
    </row>
    <row r="819" spans="1:23" ht="16" x14ac:dyDescent="0.2">
      <c r="A819" s="5"/>
      <c r="B819" s="6"/>
      <c r="C819" s="6"/>
      <c r="D819" s="6"/>
      <c r="E819" s="6"/>
      <c r="F819" s="5"/>
      <c r="G819" s="5"/>
      <c r="H819" s="5"/>
      <c r="I819" s="5"/>
      <c r="J819" s="5"/>
      <c r="K819" s="5"/>
      <c r="L819" s="5"/>
      <c r="M819" s="5"/>
      <c r="N819" s="5"/>
      <c r="O819" s="5"/>
      <c r="P819" s="5"/>
      <c r="Q819" s="5"/>
      <c r="R819" s="5"/>
      <c r="S819" s="5"/>
      <c r="T819" s="5"/>
      <c r="U819" s="5"/>
      <c r="V819" s="5"/>
      <c r="W819" s="5"/>
    </row>
    <row r="820" spans="1:23" ht="16" x14ac:dyDescent="0.2">
      <c r="A820" s="5"/>
      <c r="B820" s="6"/>
      <c r="C820" s="6"/>
      <c r="D820" s="6"/>
      <c r="E820" s="6"/>
      <c r="F820" s="5"/>
      <c r="G820" s="5"/>
      <c r="H820" s="5"/>
      <c r="I820" s="5"/>
      <c r="J820" s="5"/>
      <c r="K820" s="5"/>
      <c r="L820" s="5"/>
      <c r="M820" s="5"/>
      <c r="N820" s="5"/>
      <c r="O820" s="5"/>
      <c r="P820" s="5"/>
      <c r="Q820" s="5"/>
      <c r="R820" s="5"/>
      <c r="S820" s="5"/>
      <c r="T820" s="5"/>
      <c r="U820" s="5"/>
      <c r="V820" s="5"/>
      <c r="W820" s="5"/>
    </row>
    <row r="821" spans="1:23" ht="16" x14ac:dyDescent="0.2">
      <c r="A821" s="5"/>
      <c r="B821" s="6"/>
      <c r="C821" s="6"/>
      <c r="D821" s="6"/>
      <c r="E821" s="6"/>
      <c r="F821" s="5"/>
      <c r="G821" s="5"/>
      <c r="H821" s="5"/>
      <c r="I821" s="5"/>
      <c r="J821" s="5"/>
      <c r="K821" s="5"/>
      <c r="L821" s="5"/>
      <c r="M821" s="5"/>
      <c r="N821" s="5"/>
      <c r="O821" s="5"/>
      <c r="P821" s="5"/>
      <c r="Q821" s="5"/>
      <c r="R821" s="5"/>
      <c r="S821" s="5"/>
      <c r="T821" s="5"/>
      <c r="U821" s="5"/>
      <c r="V821" s="5"/>
      <c r="W821" s="5"/>
    </row>
    <row r="822" spans="1:23" ht="16" x14ac:dyDescent="0.2">
      <c r="A822" s="5"/>
      <c r="B822" s="6"/>
      <c r="C822" s="6"/>
      <c r="D822" s="6"/>
      <c r="E822" s="6"/>
      <c r="F822" s="5"/>
      <c r="G822" s="5"/>
      <c r="H822" s="5"/>
      <c r="I822" s="5"/>
      <c r="J822" s="5"/>
      <c r="K822" s="5"/>
      <c r="L822" s="5"/>
      <c r="M822" s="5"/>
      <c r="N822" s="5"/>
      <c r="O822" s="5"/>
      <c r="P822" s="5"/>
      <c r="Q822" s="5"/>
      <c r="R822" s="5"/>
      <c r="S822" s="5"/>
      <c r="T822" s="5"/>
      <c r="U822" s="5"/>
      <c r="V822" s="5"/>
      <c r="W822" s="5"/>
    </row>
    <row r="823" spans="1:23" ht="16" x14ac:dyDescent="0.2">
      <c r="A823" s="5"/>
      <c r="B823" s="6"/>
      <c r="C823" s="6"/>
      <c r="D823" s="6"/>
      <c r="E823" s="6"/>
      <c r="F823" s="5"/>
      <c r="G823" s="5"/>
      <c r="H823" s="5"/>
      <c r="I823" s="5"/>
      <c r="J823" s="5"/>
      <c r="K823" s="5"/>
      <c r="L823" s="5"/>
      <c r="M823" s="5"/>
      <c r="N823" s="5"/>
      <c r="O823" s="5"/>
      <c r="P823" s="5"/>
      <c r="Q823" s="5"/>
      <c r="R823" s="5"/>
      <c r="S823" s="5"/>
      <c r="T823" s="5"/>
      <c r="U823" s="5"/>
      <c r="V823" s="5"/>
      <c r="W823" s="5"/>
    </row>
    <row r="824" spans="1:23" ht="16" x14ac:dyDescent="0.2">
      <c r="A824" s="5"/>
      <c r="B824" s="6"/>
      <c r="C824" s="6"/>
      <c r="D824" s="6"/>
      <c r="E824" s="6"/>
      <c r="F824" s="5"/>
      <c r="G824" s="5"/>
      <c r="H824" s="5"/>
      <c r="I824" s="5"/>
      <c r="J824" s="5"/>
      <c r="K824" s="5"/>
      <c r="L824" s="5"/>
      <c r="M824" s="5"/>
      <c r="N824" s="5"/>
      <c r="O824" s="5"/>
      <c r="P824" s="5"/>
      <c r="Q824" s="5"/>
      <c r="R824" s="5"/>
      <c r="S824" s="5"/>
      <c r="T824" s="5"/>
      <c r="U824" s="5"/>
      <c r="V824" s="5"/>
      <c r="W824" s="5"/>
    </row>
    <row r="825" spans="1:23" ht="16" x14ac:dyDescent="0.2">
      <c r="A825" s="5"/>
      <c r="B825" s="6"/>
      <c r="C825" s="6"/>
      <c r="D825" s="6"/>
      <c r="E825" s="6"/>
      <c r="F825" s="5"/>
      <c r="G825" s="5"/>
      <c r="H825" s="5"/>
      <c r="I825" s="5"/>
      <c r="J825" s="5"/>
      <c r="K825" s="5"/>
      <c r="L825" s="5"/>
      <c r="M825" s="5"/>
      <c r="N825" s="5"/>
      <c r="O825" s="5"/>
      <c r="P825" s="5"/>
      <c r="Q825" s="5"/>
      <c r="R825" s="5"/>
      <c r="S825" s="5"/>
      <c r="T825" s="5"/>
      <c r="U825" s="5"/>
      <c r="V825" s="5"/>
      <c r="W825" s="5"/>
    </row>
    <row r="826" spans="1:23" ht="16" x14ac:dyDescent="0.2">
      <c r="A826" s="5"/>
      <c r="B826" s="6"/>
      <c r="C826" s="6"/>
      <c r="D826" s="6"/>
      <c r="E826" s="6"/>
      <c r="F826" s="5"/>
      <c r="G826" s="5"/>
      <c r="H826" s="5"/>
      <c r="I826" s="5"/>
      <c r="J826" s="5"/>
      <c r="K826" s="5"/>
      <c r="L826" s="5"/>
      <c r="M826" s="5"/>
      <c r="N826" s="5"/>
      <c r="O826" s="5"/>
      <c r="P826" s="5"/>
      <c r="Q826" s="5"/>
      <c r="R826" s="5"/>
      <c r="S826" s="5"/>
      <c r="T826" s="5"/>
      <c r="U826" s="5"/>
      <c r="V826" s="5"/>
      <c r="W826" s="5"/>
    </row>
    <row r="827" spans="1:23" ht="16" x14ac:dyDescent="0.2">
      <c r="A827" s="5"/>
      <c r="B827" s="6"/>
      <c r="C827" s="6"/>
      <c r="D827" s="6"/>
      <c r="E827" s="6"/>
      <c r="F827" s="5"/>
      <c r="G827" s="5"/>
      <c r="H827" s="5"/>
      <c r="I827" s="5"/>
      <c r="J827" s="5"/>
      <c r="K827" s="5"/>
      <c r="L827" s="5"/>
      <c r="M827" s="5"/>
      <c r="N827" s="5"/>
      <c r="O827" s="5"/>
      <c r="P827" s="5"/>
      <c r="Q827" s="5"/>
      <c r="R827" s="5"/>
      <c r="S827" s="5"/>
      <c r="T827" s="5"/>
      <c r="U827" s="5"/>
      <c r="V827" s="5"/>
      <c r="W827" s="5"/>
    </row>
    <row r="828" spans="1:23" ht="16" x14ac:dyDescent="0.2">
      <c r="A828" s="5"/>
      <c r="B828" s="6"/>
      <c r="C828" s="6"/>
      <c r="D828" s="6"/>
      <c r="E828" s="6"/>
      <c r="F828" s="5"/>
      <c r="G828" s="5"/>
      <c r="H828" s="5"/>
      <c r="I828" s="5"/>
      <c r="J828" s="5"/>
      <c r="K828" s="5"/>
      <c r="L828" s="5"/>
      <c r="M828" s="5"/>
      <c r="N828" s="5"/>
      <c r="O828" s="5"/>
      <c r="P828" s="5"/>
      <c r="Q828" s="5"/>
      <c r="R828" s="5"/>
      <c r="S828" s="5"/>
      <c r="T828" s="5"/>
      <c r="U828" s="5"/>
      <c r="V828" s="5"/>
      <c r="W828" s="5"/>
    </row>
    <row r="829" spans="1:23" ht="16" x14ac:dyDescent="0.2">
      <c r="A829" s="5"/>
      <c r="B829" s="6"/>
      <c r="C829" s="6"/>
      <c r="D829" s="6"/>
      <c r="E829" s="6"/>
      <c r="F829" s="5"/>
      <c r="G829" s="5"/>
      <c r="H829" s="5"/>
      <c r="I829" s="5"/>
      <c r="J829" s="5"/>
      <c r="K829" s="5"/>
      <c r="L829" s="5"/>
      <c r="M829" s="5"/>
      <c r="N829" s="5"/>
      <c r="O829" s="5"/>
      <c r="P829" s="5"/>
      <c r="Q829" s="5"/>
      <c r="R829" s="5"/>
      <c r="S829" s="5"/>
      <c r="T829" s="5"/>
      <c r="U829" s="5"/>
      <c r="V829" s="5"/>
      <c r="W829" s="5"/>
    </row>
    <row r="830" spans="1:23" ht="16" x14ac:dyDescent="0.2">
      <c r="A830" s="5"/>
      <c r="B830" s="6"/>
      <c r="C830" s="6"/>
      <c r="D830" s="6"/>
      <c r="E830" s="6"/>
      <c r="F830" s="5"/>
      <c r="G830" s="5"/>
      <c r="H830" s="5"/>
      <c r="I830" s="5"/>
      <c r="J830" s="5"/>
      <c r="K830" s="5"/>
      <c r="L830" s="5"/>
      <c r="M830" s="5"/>
      <c r="N830" s="5"/>
      <c r="O830" s="5"/>
      <c r="P830" s="5"/>
      <c r="Q830" s="5"/>
      <c r="R830" s="5"/>
      <c r="S830" s="5"/>
      <c r="T830" s="5"/>
      <c r="U830" s="5"/>
      <c r="V830" s="5"/>
      <c r="W830" s="5"/>
    </row>
    <row r="831" spans="1:23" ht="16" x14ac:dyDescent="0.2">
      <c r="A831" s="5"/>
      <c r="B831" s="6"/>
      <c r="C831" s="6"/>
      <c r="D831" s="6"/>
      <c r="E831" s="6"/>
      <c r="F831" s="5"/>
      <c r="G831" s="5"/>
      <c r="H831" s="5"/>
      <c r="I831" s="5"/>
      <c r="J831" s="5"/>
      <c r="K831" s="5"/>
      <c r="L831" s="5"/>
      <c r="M831" s="5"/>
      <c r="N831" s="5"/>
      <c r="O831" s="5"/>
      <c r="P831" s="5"/>
      <c r="Q831" s="5"/>
      <c r="R831" s="5"/>
      <c r="S831" s="5"/>
      <c r="T831" s="5"/>
      <c r="U831" s="5"/>
      <c r="V831" s="5"/>
      <c r="W831" s="5"/>
    </row>
    <row r="832" spans="1:23" ht="16" x14ac:dyDescent="0.2">
      <c r="A832" s="5"/>
      <c r="B832" s="6"/>
      <c r="C832" s="6"/>
      <c r="D832" s="6"/>
      <c r="E832" s="6"/>
      <c r="F832" s="5"/>
      <c r="G832" s="5"/>
      <c r="H832" s="5"/>
      <c r="I832" s="5"/>
      <c r="J832" s="5"/>
      <c r="K832" s="5"/>
      <c r="L832" s="5"/>
      <c r="M832" s="5"/>
      <c r="N832" s="5"/>
      <c r="O832" s="5"/>
      <c r="P832" s="5"/>
      <c r="Q832" s="5"/>
      <c r="R832" s="5"/>
      <c r="S832" s="5"/>
      <c r="T832" s="5"/>
      <c r="U832" s="5"/>
      <c r="V832" s="5"/>
      <c r="W832" s="5"/>
    </row>
    <row r="833" spans="1:23" ht="16" x14ac:dyDescent="0.2">
      <c r="A833" s="5"/>
      <c r="B833" s="6"/>
      <c r="C833" s="6"/>
      <c r="D833" s="6"/>
      <c r="E833" s="6"/>
      <c r="F833" s="5"/>
      <c r="G833" s="5"/>
      <c r="H833" s="5"/>
      <c r="I833" s="5"/>
      <c r="J833" s="5"/>
      <c r="K833" s="5"/>
      <c r="L833" s="5"/>
      <c r="M833" s="5"/>
      <c r="N833" s="5"/>
      <c r="O833" s="5"/>
      <c r="P833" s="5"/>
      <c r="Q833" s="5"/>
      <c r="R833" s="5"/>
      <c r="S833" s="5"/>
      <c r="T833" s="5"/>
      <c r="U833" s="5"/>
      <c r="V833" s="5"/>
      <c r="W833" s="5"/>
    </row>
    <row r="834" spans="1:23" ht="16" x14ac:dyDescent="0.2">
      <c r="A834" s="5"/>
      <c r="B834" s="6"/>
      <c r="C834" s="6"/>
      <c r="D834" s="6"/>
      <c r="E834" s="6"/>
      <c r="F834" s="5"/>
      <c r="G834" s="5"/>
      <c r="H834" s="5"/>
      <c r="I834" s="5"/>
      <c r="J834" s="5"/>
      <c r="K834" s="5"/>
      <c r="L834" s="5"/>
      <c r="M834" s="5"/>
      <c r="N834" s="5"/>
      <c r="O834" s="5"/>
      <c r="P834" s="5"/>
      <c r="Q834" s="5"/>
      <c r="R834" s="5"/>
      <c r="S834" s="5"/>
      <c r="T834" s="5"/>
      <c r="U834" s="5"/>
      <c r="V834" s="5"/>
      <c r="W834" s="5"/>
    </row>
    <row r="835" spans="1:23" ht="16" x14ac:dyDescent="0.2">
      <c r="A835" s="5"/>
      <c r="B835" s="6"/>
      <c r="C835" s="6"/>
      <c r="D835" s="6"/>
      <c r="E835" s="6"/>
      <c r="F835" s="5"/>
      <c r="G835" s="5"/>
      <c r="H835" s="5"/>
      <c r="I835" s="5"/>
      <c r="J835" s="5"/>
      <c r="K835" s="5"/>
      <c r="L835" s="5"/>
      <c r="M835" s="5"/>
      <c r="N835" s="5"/>
      <c r="O835" s="5"/>
      <c r="P835" s="5"/>
      <c r="Q835" s="5"/>
      <c r="R835" s="5"/>
      <c r="S835" s="5"/>
      <c r="T835" s="5"/>
      <c r="U835" s="5"/>
      <c r="V835" s="5"/>
      <c r="W835" s="5"/>
    </row>
    <row r="836" spans="1:23" ht="16" x14ac:dyDescent="0.2">
      <c r="A836" s="5"/>
      <c r="B836" s="6"/>
      <c r="C836" s="6"/>
      <c r="D836" s="6"/>
      <c r="E836" s="6"/>
      <c r="F836" s="5"/>
      <c r="G836" s="5"/>
      <c r="H836" s="5"/>
      <c r="I836" s="5"/>
      <c r="J836" s="5"/>
      <c r="K836" s="5"/>
      <c r="L836" s="5"/>
      <c r="M836" s="5"/>
      <c r="N836" s="5"/>
      <c r="O836" s="5"/>
      <c r="P836" s="5"/>
      <c r="Q836" s="5"/>
      <c r="R836" s="5"/>
      <c r="S836" s="5"/>
      <c r="T836" s="5"/>
      <c r="U836" s="5"/>
      <c r="V836" s="5"/>
      <c r="W836" s="5"/>
    </row>
    <row r="837" spans="1:23" ht="16" x14ac:dyDescent="0.2">
      <c r="A837" s="5"/>
      <c r="B837" s="6"/>
      <c r="C837" s="6"/>
      <c r="D837" s="6"/>
      <c r="E837" s="6"/>
      <c r="F837" s="5"/>
      <c r="G837" s="5"/>
      <c r="H837" s="5"/>
      <c r="I837" s="5"/>
      <c r="J837" s="5"/>
      <c r="K837" s="5"/>
      <c r="L837" s="5"/>
      <c r="M837" s="5"/>
      <c r="N837" s="5"/>
      <c r="O837" s="5"/>
      <c r="P837" s="5"/>
      <c r="Q837" s="5"/>
      <c r="R837" s="5"/>
      <c r="S837" s="5"/>
      <c r="T837" s="5"/>
      <c r="U837" s="5"/>
      <c r="V837" s="5"/>
      <c r="W837" s="5"/>
    </row>
    <row r="838" spans="1:23" ht="16" x14ac:dyDescent="0.2">
      <c r="A838" s="5"/>
      <c r="B838" s="6"/>
      <c r="C838" s="6"/>
      <c r="D838" s="6"/>
      <c r="E838" s="6"/>
      <c r="F838" s="5"/>
      <c r="G838" s="5"/>
      <c r="H838" s="5"/>
      <c r="I838" s="5"/>
      <c r="J838" s="5"/>
      <c r="K838" s="5"/>
      <c r="L838" s="5"/>
      <c r="M838" s="5"/>
      <c r="N838" s="5"/>
      <c r="O838" s="5"/>
      <c r="P838" s="5"/>
      <c r="Q838" s="5"/>
      <c r="R838" s="5"/>
      <c r="S838" s="5"/>
      <c r="T838" s="5"/>
      <c r="U838" s="5"/>
      <c r="V838" s="5"/>
      <c r="W838" s="5"/>
    </row>
    <row r="839" spans="1:23" ht="16" x14ac:dyDescent="0.2">
      <c r="A839" s="5"/>
      <c r="B839" s="6"/>
      <c r="C839" s="6"/>
      <c r="D839" s="6"/>
      <c r="E839" s="6"/>
      <c r="F839" s="5"/>
      <c r="G839" s="5"/>
      <c r="H839" s="5"/>
      <c r="I839" s="5"/>
      <c r="J839" s="5"/>
      <c r="K839" s="5"/>
      <c r="L839" s="5"/>
      <c r="M839" s="5"/>
      <c r="N839" s="5"/>
      <c r="O839" s="5"/>
      <c r="P839" s="5"/>
      <c r="Q839" s="5"/>
      <c r="R839" s="5"/>
      <c r="S839" s="5"/>
      <c r="T839" s="5"/>
      <c r="U839" s="5"/>
      <c r="V839" s="5"/>
      <c r="W839" s="5"/>
    </row>
    <row r="840" spans="1:23" ht="16" x14ac:dyDescent="0.2">
      <c r="A840" s="5"/>
      <c r="B840" s="6"/>
      <c r="C840" s="6"/>
      <c r="D840" s="6"/>
      <c r="E840" s="6"/>
      <c r="F840" s="5"/>
      <c r="G840" s="5"/>
      <c r="H840" s="5"/>
      <c r="I840" s="5"/>
      <c r="J840" s="5"/>
      <c r="K840" s="5"/>
      <c r="L840" s="5"/>
      <c r="M840" s="5"/>
      <c r="N840" s="5"/>
      <c r="O840" s="5"/>
      <c r="P840" s="5"/>
      <c r="Q840" s="5"/>
      <c r="R840" s="5"/>
      <c r="S840" s="5"/>
      <c r="T840" s="5"/>
      <c r="U840" s="5"/>
      <c r="V840" s="5"/>
      <c r="W840" s="5"/>
    </row>
    <row r="841" spans="1:23" ht="16" x14ac:dyDescent="0.2">
      <c r="A841" s="5"/>
      <c r="B841" s="6"/>
      <c r="C841" s="6"/>
      <c r="D841" s="6"/>
      <c r="E841" s="6"/>
      <c r="F841" s="5"/>
      <c r="G841" s="5"/>
      <c r="H841" s="5"/>
      <c r="I841" s="5"/>
      <c r="J841" s="5"/>
      <c r="K841" s="5"/>
      <c r="L841" s="5"/>
      <c r="M841" s="5"/>
      <c r="N841" s="5"/>
      <c r="O841" s="5"/>
      <c r="P841" s="5"/>
      <c r="Q841" s="5"/>
      <c r="R841" s="5"/>
      <c r="S841" s="5"/>
      <c r="T841" s="5"/>
      <c r="U841" s="5"/>
      <c r="V841" s="5"/>
      <c r="W841" s="5"/>
    </row>
    <row r="842" spans="1:23" ht="16" x14ac:dyDescent="0.2">
      <c r="A842" s="5"/>
      <c r="B842" s="6"/>
      <c r="C842" s="6"/>
      <c r="D842" s="6"/>
      <c r="E842" s="6"/>
      <c r="F842" s="5"/>
      <c r="G842" s="5"/>
      <c r="H842" s="5"/>
      <c r="I842" s="5"/>
      <c r="J842" s="5"/>
      <c r="K842" s="5"/>
      <c r="L842" s="5"/>
      <c r="M842" s="5"/>
      <c r="N842" s="5"/>
      <c r="O842" s="5"/>
      <c r="P842" s="5"/>
      <c r="Q842" s="5"/>
      <c r="R842" s="5"/>
      <c r="S842" s="5"/>
      <c r="T842" s="5"/>
      <c r="U842" s="5"/>
      <c r="V842" s="5"/>
      <c r="W842" s="5"/>
    </row>
    <row r="843" spans="1:23" ht="16" x14ac:dyDescent="0.2">
      <c r="A843" s="5"/>
      <c r="B843" s="6"/>
      <c r="C843" s="6"/>
      <c r="D843" s="6"/>
      <c r="E843" s="6"/>
      <c r="F843" s="5"/>
      <c r="G843" s="5"/>
      <c r="H843" s="5"/>
      <c r="I843" s="5"/>
      <c r="J843" s="5"/>
      <c r="K843" s="5"/>
      <c r="L843" s="5"/>
      <c r="M843" s="5"/>
      <c r="N843" s="5"/>
      <c r="O843" s="5"/>
      <c r="P843" s="5"/>
      <c r="Q843" s="5"/>
      <c r="R843" s="5"/>
      <c r="S843" s="5"/>
      <c r="T843" s="5"/>
      <c r="U843" s="5"/>
      <c r="V843" s="5"/>
      <c r="W843" s="5"/>
    </row>
    <row r="844" spans="1:23" ht="16" x14ac:dyDescent="0.2">
      <c r="A844" s="5"/>
      <c r="B844" s="6"/>
      <c r="C844" s="6"/>
      <c r="D844" s="6"/>
      <c r="E844" s="6"/>
      <c r="F844" s="5"/>
      <c r="G844" s="5"/>
      <c r="H844" s="5"/>
      <c r="I844" s="5"/>
      <c r="J844" s="5"/>
      <c r="K844" s="5"/>
      <c r="L844" s="5"/>
      <c r="M844" s="5"/>
      <c r="N844" s="5"/>
      <c r="O844" s="5"/>
      <c r="P844" s="5"/>
      <c r="Q844" s="5"/>
      <c r="R844" s="5"/>
      <c r="S844" s="5"/>
      <c r="T844" s="5"/>
      <c r="U844" s="5"/>
      <c r="V844" s="5"/>
      <c r="W844" s="5"/>
    </row>
    <row r="845" spans="1:23" ht="16" x14ac:dyDescent="0.2">
      <c r="A845" s="5"/>
      <c r="B845" s="6"/>
      <c r="C845" s="6"/>
      <c r="D845" s="6"/>
      <c r="E845" s="6"/>
      <c r="F845" s="5"/>
      <c r="G845" s="5"/>
      <c r="H845" s="5"/>
      <c r="I845" s="5"/>
      <c r="J845" s="5"/>
      <c r="K845" s="5"/>
      <c r="L845" s="5"/>
      <c r="M845" s="5"/>
      <c r="N845" s="5"/>
      <c r="O845" s="5"/>
      <c r="P845" s="5"/>
      <c r="Q845" s="5"/>
      <c r="R845" s="5"/>
      <c r="S845" s="5"/>
      <c r="T845" s="5"/>
      <c r="U845" s="5"/>
      <c r="V845" s="5"/>
      <c r="W845" s="5"/>
    </row>
    <row r="846" spans="1:23" ht="16" x14ac:dyDescent="0.2">
      <c r="A846" s="5"/>
      <c r="B846" s="6"/>
      <c r="C846" s="6"/>
      <c r="D846" s="6"/>
      <c r="E846" s="6"/>
      <c r="F846" s="5"/>
      <c r="G846" s="5"/>
      <c r="H846" s="5"/>
      <c r="I846" s="5"/>
      <c r="J846" s="5"/>
      <c r="K846" s="5"/>
      <c r="L846" s="5"/>
      <c r="M846" s="5"/>
      <c r="N846" s="5"/>
      <c r="O846" s="5"/>
      <c r="P846" s="5"/>
      <c r="Q846" s="5"/>
      <c r="R846" s="5"/>
      <c r="S846" s="5"/>
      <c r="T846" s="5"/>
      <c r="U846" s="5"/>
      <c r="V846" s="5"/>
      <c r="W846" s="5"/>
    </row>
    <row r="847" spans="1:23" ht="16" x14ac:dyDescent="0.2">
      <c r="A847" s="5"/>
      <c r="B847" s="6"/>
      <c r="C847" s="6"/>
      <c r="D847" s="6"/>
      <c r="E847" s="6"/>
      <c r="F847" s="5"/>
      <c r="G847" s="5"/>
      <c r="H847" s="5"/>
      <c r="I847" s="5"/>
      <c r="J847" s="5"/>
      <c r="K847" s="5"/>
      <c r="L847" s="5"/>
      <c r="M847" s="5"/>
      <c r="N847" s="5"/>
      <c r="O847" s="5"/>
      <c r="P847" s="5"/>
      <c r="Q847" s="5"/>
      <c r="R847" s="5"/>
      <c r="S847" s="5"/>
      <c r="T847" s="5"/>
      <c r="U847" s="5"/>
      <c r="V847" s="5"/>
      <c r="W847" s="5"/>
    </row>
    <row r="848" spans="1:23" ht="16" x14ac:dyDescent="0.2">
      <c r="A848" s="5"/>
      <c r="B848" s="6"/>
      <c r="C848" s="6"/>
      <c r="D848" s="6"/>
      <c r="E848" s="6"/>
      <c r="F848" s="5"/>
      <c r="G848" s="5"/>
      <c r="H848" s="5"/>
      <c r="I848" s="5"/>
      <c r="J848" s="5"/>
      <c r="K848" s="5"/>
      <c r="L848" s="5"/>
      <c r="M848" s="5"/>
      <c r="N848" s="5"/>
      <c r="O848" s="5"/>
      <c r="P848" s="5"/>
      <c r="Q848" s="5"/>
      <c r="R848" s="5"/>
      <c r="S848" s="5"/>
      <c r="T848" s="5"/>
      <c r="U848" s="5"/>
      <c r="V848" s="5"/>
      <c r="W848" s="5"/>
    </row>
    <row r="849" spans="1:23" ht="16" x14ac:dyDescent="0.2">
      <c r="A849" s="5"/>
      <c r="B849" s="6"/>
      <c r="C849" s="6"/>
      <c r="D849" s="6"/>
      <c r="E849" s="6"/>
      <c r="F849" s="5"/>
      <c r="G849" s="5"/>
      <c r="H849" s="5"/>
      <c r="I849" s="5"/>
      <c r="J849" s="5"/>
      <c r="K849" s="5"/>
      <c r="L849" s="5"/>
      <c r="M849" s="5"/>
      <c r="N849" s="5"/>
      <c r="O849" s="5"/>
      <c r="P849" s="5"/>
      <c r="Q849" s="5"/>
      <c r="R849" s="5"/>
      <c r="S849" s="5"/>
      <c r="T849" s="5"/>
      <c r="U849" s="5"/>
      <c r="V849" s="5"/>
      <c r="W849" s="5"/>
    </row>
    <row r="850" spans="1:23" ht="16" x14ac:dyDescent="0.2">
      <c r="A850" s="5"/>
      <c r="B850" s="6"/>
      <c r="C850" s="6"/>
      <c r="D850" s="6"/>
      <c r="E850" s="6"/>
      <c r="F850" s="5"/>
      <c r="G850" s="5"/>
      <c r="H850" s="5"/>
      <c r="I850" s="5"/>
      <c r="J850" s="5"/>
      <c r="K850" s="5"/>
      <c r="L850" s="5"/>
      <c r="M850" s="5"/>
      <c r="N850" s="5"/>
      <c r="O850" s="5"/>
      <c r="P850" s="5"/>
      <c r="Q850" s="5"/>
      <c r="R850" s="5"/>
      <c r="S850" s="5"/>
      <c r="T850" s="5"/>
      <c r="U850" s="5"/>
      <c r="V850" s="5"/>
      <c r="W850" s="5"/>
    </row>
    <row r="851" spans="1:23" ht="16" x14ac:dyDescent="0.2">
      <c r="A851" s="5"/>
      <c r="B851" s="6"/>
      <c r="C851" s="6"/>
      <c r="D851" s="6"/>
      <c r="E851" s="6"/>
      <c r="F851" s="5"/>
      <c r="G851" s="5"/>
      <c r="H851" s="5"/>
      <c r="I851" s="5"/>
      <c r="J851" s="5"/>
      <c r="K851" s="5"/>
      <c r="L851" s="5"/>
      <c r="M851" s="5"/>
      <c r="N851" s="5"/>
      <c r="O851" s="5"/>
      <c r="P851" s="5"/>
      <c r="Q851" s="5"/>
      <c r="R851" s="5"/>
      <c r="S851" s="5"/>
      <c r="T851" s="5"/>
      <c r="U851" s="5"/>
      <c r="V851" s="5"/>
      <c r="W851" s="5"/>
    </row>
    <row r="852" spans="1:23" ht="16" x14ac:dyDescent="0.2">
      <c r="A852" s="5"/>
      <c r="B852" s="6"/>
      <c r="C852" s="6"/>
      <c r="D852" s="6"/>
      <c r="E852" s="6"/>
      <c r="F852" s="5"/>
      <c r="G852" s="5"/>
      <c r="H852" s="5"/>
      <c r="I852" s="5"/>
      <c r="J852" s="5"/>
      <c r="K852" s="5"/>
      <c r="L852" s="5"/>
      <c r="M852" s="5"/>
      <c r="N852" s="5"/>
      <c r="O852" s="5"/>
      <c r="P852" s="5"/>
      <c r="Q852" s="5"/>
      <c r="R852" s="5"/>
      <c r="S852" s="5"/>
      <c r="T852" s="5"/>
      <c r="U852" s="5"/>
      <c r="V852" s="5"/>
      <c r="W852" s="5"/>
    </row>
    <row r="853" spans="1:23" ht="16" x14ac:dyDescent="0.2">
      <c r="A853" s="5"/>
      <c r="B853" s="6"/>
      <c r="C853" s="6"/>
      <c r="D853" s="6"/>
      <c r="E853" s="6"/>
      <c r="F853" s="5"/>
      <c r="G853" s="5"/>
      <c r="H853" s="5"/>
      <c r="I853" s="5"/>
      <c r="J853" s="5"/>
      <c r="K853" s="5"/>
      <c r="L853" s="5"/>
      <c r="M853" s="5"/>
      <c r="N853" s="5"/>
      <c r="O853" s="5"/>
      <c r="P853" s="5"/>
      <c r="Q853" s="5"/>
      <c r="R853" s="5"/>
      <c r="S853" s="5"/>
      <c r="T853" s="5"/>
      <c r="U853" s="5"/>
      <c r="V853" s="5"/>
      <c r="W853" s="5"/>
    </row>
    <row r="854" spans="1:23" ht="16" x14ac:dyDescent="0.2">
      <c r="A854" s="5"/>
      <c r="B854" s="6"/>
      <c r="C854" s="6"/>
      <c r="D854" s="6"/>
      <c r="E854" s="6"/>
      <c r="F854" s="5"/>
      <c r="G854" s="5"/>
      <c r="H854" s="5"/>
      <c r="I854" s="5"/>
      <c r="J854" s="5"/>
      <c r="K854" s="5"/>
      <c r="L854" s="5"/>
      <c r="M854" s="5"/>
      <c r="N854" s="5"/>
      <c r="O854" s="5"/>
      <c r="P854" s="5"/>
      <c r="Q854" s="5"/>
      <c r="R854" s="5"/>
      <c r="S854" s="5"/>
      <c r="T854" s="5"/>
      <c r="U854" s="5"/>
      <c r="V854" s="5"/>
      <c r="W854" s="5"/>
    </row>
    <row r="855" spans="1:23" ht="16" x14ac:dyDescent="0.2">
      <c r="A855" s="5"/>
      <c r="B855" s="6"/>
      <c r="C855" s="6"/>
      <c r="D855" s="6"/>
      <c r="E855" s="6"/>
      <c r="F855" s="5"/>
      <c r="G855" s="5"/>
      <c r="H855" s="5"/>
      <c r="I855" s="5"/>
      <c r="J855" s="5"/>
      <c r="K855" s="5"/>
      <c r="L855" s="5"/>
      <c r="M855" s="5"/>
      <c r="N855" s="5"/>
      <c r="O855" s="5"/>
      <c r="P855" s="5"/>
      <c r="Q855" s="5"/>
      <c r="R855" s="5"/>
      <c r="S855" s="5"/>
      <c r="T855" s="5"/>
      <c r="U855" s="5"/>
      <c r="V855" s="5"/>
      <c r="W855" s="5"/>
    </row>
    <row r="856" spans="1:23" ht="16" x14ac:dyDescent="0.2">
      <c r="A856" s="5"/>
      <c r="B856" s="6"/>
      <c r="C856" s="6"/>
      <c r="D856" s="6"/>
      <c r="E856" s="6"/>
      <c r="F856" s="5"/>
      <c r="G856" s="5"/>
      <c r="H856" s="5"/>
      <c r="I856" s="5"/>
      <c r="J856" s="5"/>
      <c r="K856" s="5"/>
      <c r="L856" s="5"/>
      <c r="M856" s="5"/>
      <c r="N856" s="5"/>
      <c r="O856" s="5"/>
      <c r="P856" s="5"/>
      <c r="Q856" s="5"/>
      <c r="R856" s="5"/>
      <c r="S856" s="5"/>
      <c r="T856" s="5"/>
      <c r="U856" s="5"/>
      <c r="V856" s="5"/>
      <c r="W856" s="5"/>
    </row>
    <row r="857" spans="1:23" ht="16" x14ac:dyDescent="0.2">
      <c r="A857" s="5"/>
      <c r="B857" s="6"/>
      <c r="C857" s="6"/>
      <c r="D857" s="6"/>
      <c r="E857" s="6"/>
      <c r="F857" s="5"/>
      <c r="G857" s="5"/>
      <c r="H857" s="5"/>
      <c r="I857" s="5"/>
      <c r="J857" s="5"/>
      <c r="K857" s="5"/>
      <c r="L857" s="5"/>
      <c r="M857" s="5"/>
      <c r="N857" s="5"/>
      <c r="O857" s="5"/>
      <c r="P857" s="5"/>
      <c r="Q857" s="5"/>
      <c r="R857" s="5"/>
      <c r="S857" s="5"/>
      <c r="T857" s="5"/>
      <c r="U857" s="5"/>
      <c r="V857" s="5"/>
      <c r="W857" s="5"/>
    </row>
    <row r="858" spans="1:23" ht="16" x14ac:dyDescent="0.2">
      <c r="A858" s="5"/>
      <c r="B858" s="6"/>
      <c r="C858" s="6"/>
      <c r="D858" s="6"/>
      <c r="E858" s="6"/>
      <c r="F858" s="5"/>
      <c r="G858" s="5"/>
      <c r="H858" s="5"/>
      <c r="I858" s="5"/>
      <c r="J858" s="5"/>
      <c r="K858" s="5"/>
      <c r="L858" s="5"/>
      <c r="M858" s="5"/>
      <c r="N858" s="5"/>
      <c r="O858" s="5"/>
      <c r="P858" s="5"/>
      <c r="Q858" s="5"/>
      <c r="R858" s="5"/>
      <c r="S858" s="5"/>
      <c r="T858" s="5"/>
      <c r="U858" s="5"/>
      <c r="V858" s="5"/>
      <c r="W858" s="5"/>
    </row>
    <row r="859" spans="1:23" ht="16" x14ac:dyDescent="0.2">
      <c r="A859" s="5"/>
      <c r="B859" s="6"/>
      <c r="C859" s="6"/>
      <c r="D859" s="6"/>
      <c r="E859" s="6"/>
      <c r="F859" s="5"/>
      <c r="G859" s="5"/>
      <c r="H859" s="5"/>
      <c r="I859" s="5"/>
      <c r="J859" s="5"/>
      <c r="K859" s="5"/>
      <c r="L859" s="5"/>
      <c r="M859" s="5"/>
      <c r="N859" s="5"/>
      <c r="O859" s="5"/>
      <c r="P859" s="5"/>
      <c r="Q859" s="5"/>
      <c r="R859" s="5"/>
      <c r="S859" s="5"/>
      <c r="T859" s="5"/>
      <c r="U859" s="5"/>
      <c r="V859" s="5"/>
      <c r="W859" s="5"/>
    </row>
    <row r="860" spans="1:23" ht="16" x14ac:dyDescent="0.2">
      <c r="A860" s="5"/>
      <c r="B860" s="6"/>
      <c r="C860" s="6"/>
      <c r="D860" s="6"/>
      <c r="E860" s="6"/>
      <c r="F860" s="5"/>
      <c r="G860" s="5"/>
      <c r="H860" s="5"/>
      <c r="I860" s="5"/>
      <c r="J860" s="5"/>
      <c r="K860" s="5"/>
      <c r="L860" s="5"/>
      <c r="M860" s="5"/>
      <c r="N860" s="5"/>
      <c r="O860" s="5"/>
      <c r="P860" s="5"/>
      <c r="Q860" s="5"/>
      <c r="R860" s="5"/>
      <c r="S860" s="5"/>
      <c r="T860" s="5"/>
      <c r="U860" s="5"/>
      <c r="V860" s="5"/>
      <c r="W860" s="5"/>
    </row>
    <row r="861" spans="1:23" ht="16" x14ac:dyDescent="0.2">
      <c r="A861" s="5"/>
      <c r="B861" s="6"/>
      <c r="C861" s="6"/>
      <c r="D861" s="6"/>
      <c r="E861" s="6"/>
      <c r="F861" s="5"/>
      <c r="G861" s="5"/>
      <c r="H861" s="5"/>
      <c r="I861" s="5"/>
      <c r="J861" s="5"/>
      <c r="K861" s="5"/>
      <c r="L861" s="5"/>
      <c r="M861" s="5"/>
      <c r="N861" s="5"/>
      <c r="O861" s="5"/>
      <c r="P861" s="5"/>
      <c r="Q861" s="5"/>
      <c r="R861" s="5"/>
      <c r="S861" s="5"/>
      <c r="T861" s="5"/>
      <c r="U861" s="5"/>
      <c r="V861" s="5"/>
      <c r="W861" s="5"/>
    </row>
    <row r="862" spans="1:23" ht="16" x14ac:dyDescent="0.2">
      <c r="A862" s="5"/>
      <c r="B862" s="6"/>
      <c r="C862" s="6"/>
      <c r="D862" s="6"/>
      <c r="E862" s="6"/>
      <c r="F862" s="5"/>
      <c r="G862" s="5"/>
      <c r="H862" s="5"/>
      <c r="I862" s="5"/>
      <c r="J862" s="5"/>
      <c r="K862" s="5"/>
      <c r="L862" s="5"/>
      <c r="M862" s="5"/>
      <c r="N862" s="5"/>
      <c r="O862" s="5"/>
      <c r="P862" s="5"/>
      <c r="Q862" s="5"/>
      <c r="R862" s="5"/>
      <c r="S862" s="5"/>
      <c r="T862" s="5"/>
      <c r="U862" s="5"/>
      <c r="V862" s="5"/>
      <c r="W862" s="5"/>
    </row>
    <row r="863" spans="1:23" ht="16" x14ac:dyDescent="0.2">
      <c r="A863" s="5"/>
      <c r="B863" s="6"/>
      <c r="C863" s="6"/>
      <c r="D863" s="6"/>
      <c r="E863" s="6"/>
      <c r="F863" s="5"/>
      <c r="G863" s="5"/>
      <c r="H863" s="5"/>
      <c r="I863" s="5"/>
      <c r="J863" s="5"/>
      <c r="K863" s="5"/>
      <c r="L863" s="5"/>
      <c r="M863" s="5"/>
      <c r="N863" s="5"/>
      <c r="O863" s="5"/>
      <c r="P863" s="5"/>
      <c r="Q863" s="5"/>
      <c r="R863" s="5"/>
      <c r="S863" s="5"/>
      <c r="T863" s="5"/>
      <c r="U863" s="5"/>
      <c r="V863" s="5"/>
      <c r="W863" s="5"/>
    </row>
    <row r="864" spans="1:23" ht="16" x14ac:dyDescent="0.2">
      <c r="A864" s="5"/>
      <c r="B864" s="6"/>
      <c r="C864" s="6"/>
      <c r="D864" s="6"/>
      <c r="E864" s="6"/>
      <c r="F864" s="5"/>
      <c r="G864" s="5"/>
      <c r="H864" s="5"/>
      <c r="I864" s="5"/>
      <c r="J864" s="5"/>
      <c r="K864" s="5"/>
      <c r="L864" s="5"/>
      <c r="M864" s="5"/>
      <c r="N864" s="5"/>
      <c r="O864" s="5"/>
      <c r="P864" s="5"/>
      <c r="Q864" s="5"/>
      <c r="R864" s="5"/>
      <c r="S864" s="5"/>
      <c r="T864" s="5"/>
      <c r="U864" s="5"/>
      <c r="V864" s="5"/>
      <c r="W864" s="5"/>
    </row>
    <row r="865" spans="1:23" ht="16" x14ac:dyDescent="0.2">
      <c r="A865" s="5"/>
      <c r="B865" s="6"/>
      <c r="C865" s="6"/>
      <c r="D865" s="6"/>
      <c r="E865" s="6"/>
      <c r="F865" s="5"/>
      <c r="G865" s="5"/>
      <c r="H865" s="5"/>
      <c r="I865" s="5"/>
      <c r="J865" s="5"/>
      <c r="K865" s="5"/>
      <c r="L865" s="5"/>
      <c r="M865" s="5"/>
      <c r="N865" s="5"/>
      <c r="O865" s="5"/>
      <c r="P865" s="5"/>
      <c r="Q865" s="5"/>
      <c r="R865" s="5"/>
      <c r="S865" s="5"/>
      <c r="T865" s="5"/>
      <c r="U865" s="5"/>
      <c r="V865" s="5"/>
      <c r="W865" s="5"/>
    </row>
    <row r="866" spans="1:23" ht="16" x14ac:dyDescent="0.2">
      <c r="A866" s="5"/>
      <c r="B866" s="6"/>
      <c r="C866" s="6"/>
      <c r="D866" s="6"/>
      <c r="E866" s="6"/>
      <c r="F866" s="5"/>
      <c r="G866" s="5"/>
      <c r="H866" s="5"/>
      <c r="I866" s="5"/>
      <c r="J866" s="5"/>
      <c r="K866" s="5"/>
      <c r="L866" s="5"/>
      <c r="M866" s="5"/>
      <c r="N866" s="5"/>
      <c r="O866" s="5"/>
      <c r="P866" s="5"/>
      <c r="Q866" s="5"/>
      <c r="R866" s="5"/>
      <c r="S866" s="5"/>
      <c r="T866" s="5"/>
      <c r="U866" s="5"/>
      <c r="V866" s="5"/>
      <c r="W866" s="5"/>
    </row>
    <row r="867" spans="1:23" ht="16" x14ac:dyDescent="0.2">
      <c r="A867" s="5"/>
      <c r="B867" s="6"/>
      <c r="C867" s="6"/>
      <c r="D867" s="6"/>
      <c r="E867" s="6"/>
      <c r="F867" s="5"/>
      <c r="G867" s="5"/>
      <c r="H867" s="5"/>
      <c r="I867" s="5"/>
      <c r="J867" s="5"/>
      <c r="K867" s="5"/>
      <c r="L867" s="5"/>
      <c r="M867" s="5"/>
      <c r="N867" s="5"/>
      <c r="O867" s="5"/>
      <c r="P867" s="5"/>
      <c r="Q867" s="5"/>
      <c r="R867" s="5"/>
      <c r="S867" s="5"/>
      <c r="T867" s="5"/>
      <c r="U867" s="5"/>
      <c r="V867" s="5"/>
      <c r="W867" s="5"/>
    </row>
    <row r="868" spans="1:23" ht="16" x14ac:dyDescent="0.2">
      <c r="A868" s="5"/>
      <c r="B868" s="6"/>
      <c r="C868" s="6"/>
      <c r="D868" s="6"/>
      <c r="E868" s="6"/>
      <c r="F868" s="5"/>
      <c r="G868" s="5"/>
      <c r="H868" s="5"/>
      <c r="I868" s="5"/>
      <c r="J868" s="5"/>
      <c r="K868" s="5"/>
      <c r="L868" s="5"/>
      <c r="M868" s="5"/>
      <c r="N868" s="5"/>
      <c r="O868" s="5"/>
      <c r="P868" s="5"/>
      <c r="Q868" s="5"/>
      <c r="R868" s="5"/>
      <c r="S868" s="5"/>
      <c r="T868" s="5"/>
      <c r="U868" s="5"/>
      <c r="V868" s="5"/>
      <c r="W868" s="5"/>
    </row>
    <row r="869" spans="1:23" ht="16" x14ac:dyDescent="0.2">
      <c r="A869" s="5"/>
      <c r="B869" s="6"/>
      <c r="C869" s="6"/>
      <c r="D869" s="6"/>
      <c r="E869" s="6"/>
      <c r="F869" s="5"/>
      <c r="G869" s="5"/>
      <c r="H869" s="5"/>
      <c r="I869" s="5"/>
      <c r="J869" s="5"/>
      <c r="K869" s="5"/>
      <c r="L869" s="5"/>
      <c r="M869" s="5"/>
      <c r="N869" s="5"/>
      <c r="O869" s="5"/>
      <c r="P869" s="5"/>
      <c r="Q869" s="5"/>
      <c r="R869" s="5"/>
      <c r="S869" s="5"/>
      <c r="T869" s="5"/>
      <c r="U869" s="5"/>
      <c r="V869" s="5"/>
      <c r="W869" s="5"/>
    </row>
    <row r="870" spans="1:23" ht="16" x14ac:dyDescent="0.2">
      <c r="A870" s="5"/>
      <c r="B870" s="6"/>
      <c r="C870" s="6"/>
      <c r="D870" s="6"/>
      <c r="E870" s="6"/>
      <c r="F870" s="5"/>
      <c r="G870" s="5"/>
      <c r="H870" s="5"/>
      <c r="I870" s="5"/>
      <c r="J870" s="5"/>
      <c r="K870" s="5"/>
      <c r="L870" s="5"/>
      <c r="M870" s="5"/>
      <c r="N870" s="5"/>
      <c r="O870" s="5"/>
      <c r="P870" s="5"/>
      <c r="Q870" s="5"/>
      <c r="R870" s="5"/>
      <c r="S870" s="5"/>
      <c r="T870" s="5"/>
      <c r="U870" s="5"/>
      <c r="V870" s="5"/>
      <c r="W870" s="5"/>
    </row>
    <row r="871" spans="1:23" ht="16" x14ac:dyDescent="0.2">
      <c r="A871" s="5"/>
      <c r="B871" s="6"/>
      <c r="C871" s="6"/>
      <c r="D871" s="6"/>
      <c r="E871" s="6"/>
      <c r="F871" s="5"/>
      <c r="G871" s="5"/>
      <c r="H871" s="5"/>
      <c r="I871" s="5"/>
      <c r="J871" s="5"/>
      <c r="K871" s="5"/>
      <c r="L871" s="5"/>
      <c r="M871" s="5"/>
      <c r="N871" s="5"/>
      <c r="O871" s="5"/>
      <c r="P871" s="5"/>
      <c r="Q871" s="5"/>
      <c r="R871" s="5"/>
      <c r="S871" s="5"/>
      <c r="T871" s="5"/>
      <c r="U871" s="5"/>
      <c r="V871" s="5"/>
      <c r="W871" s="5"/>
    </row>
    <row r="872" spans="1:23" ht="16" x14ac:dyDescent="0.2">
      <c r="A872" s="5"/>
      <c r="B872" s="6"/>
      <c r="C872" s="6"/>
      <c r="D872" s="6"/>
      <c r="E872" s="6"/>
      <c r="F872" s="5"/>
      <c r="G872" s="5"/>
      <c r="H872" s="5"/>
      <c r="I872" s="5"/>
      <c r="J872" s="5"/>
      <c r="K872" s="5"/>
      <c r="L872" s="5"/>
      <c r="M872" s="5"/>
      <c r="N872" s="5"/>
      <c r="O872" s="5"/>
      <c r="P872" s="5"/>
      <c r="Q872" s="5"/>
      <c r="R872" s="5"/>
      <c r="S872" s="5"/>
      <c r="T872" s="5"/>
      <c r="U872" s="5"/>
      <c r="V872" s="5"/>
      <c r="W872" s="5"/>
    </row>
    <row r="873" spans="1:23" ht="16" x14ac:dyDescent="0.2">
      <c r="A873" s="5"/>
      <c r="B873" s="6"/>
      <c r="C873" s="6"/>
      <c r="D873" s="6"/>
      <c r="E873" s="6"/>
      <c r="F873" s="5"/>
      <c r="G873" s="5"/>
      <c r="H873" s="5"/>
      <c r="I873" s="5"/>
      <c r="J873" s="5"/>
      <c r="K873" s="5"/>
      <c r="L873" s="5"/>
      <c r="M873" s="5"/>
      <c r="N873" s="5"/>
      <c r="O873" s="5"/>
      <c r="P873" s="5"/>
      <c r="Q873" s="5"/>
      <c r="R873" s="5"/>
      <c r="S873" s="5"/>
      <c r="T873" s="5"/>
      <c r="U873" s="5"/>
      <c r="V873" s="5"/>
      <c r="W873" s="5"/>
    </row>
    <row r="874" spans="1:23" ht="16" x14ac:dyDescent="0.2">
      <c r="A874" s="5"/>
      <c r="B874" s="6"/>
      <c r="C874" s="6"/>
      <c r="D874" s="6"/>
      <c r="E874" s="6"/>
      <c r="F874" s="5"/>
      <c r="G874" s="5"/>
      <c r="H874" s="5"/>
      <c r="I874" s="5"/>
      <c r="J874" s="5"/>
      <c r="K874" s="5"/>
      <c r="L874" s="5"/>
      <c r="M874" s="5"/>
      <c r="N874" s="5"/>
      <c r="O874" s="5"/>
      <c r="P874" s="5"/>
      <c r="Q874" s="5"/>
      <c r="R874" s="5"/>
      <c r="S874" s="5"/>
      <c r="T874" s="5"/>
      <c r="U874" s="5"/>
      <c r="V874" s="5"/>
      <c r="W874" s="5"/>
    </row>
    <row r="875" spans="1:23" ht="16" x14ac:dyDescent="0.2">
      <c r="A875" s="5"/>
      <c r="B875" s="6"/>
      <c r="C875" s="6"/>
      <c r="D875" s="6"/>
      <c r="E875" s="6"/>
      <c r="F875" s="5"/>
      <c r="G875" s="5"/>
      <c r="H875" s="5"/>
      <c r="I875" s="5"/>
      <c r="J875" s="5"/>
      <c r="K875" s="5"/>
      <c r="L875" s="5"/>
      <c r="M875" s="5"/>
      <c r="N875" s="5"/>
      <c r="O875" s="5"/>
      <c r="P875" s="5"/>
      <c r="Q875" s="5"/>
      <c r="R875" s="5"/>
      <c r="S875" s="5"/>
      <c r="T875" s="5"/>
      <c r="U875" s="5"/>
      <c r="V875" s="5"/>
      <c r="W875" s="5"/>
    </row>
    <row r="876" spans="1:23" ht="16" x14ac:dyDescent="0.2">
      <c r="A876" s="5"/>
      <c r="B876" s="6"/>
      <c r="C876" s="6"/>
      <c r="D876" s="6"/>
      <c r="E876" s="6"/>
      <c r="F876" s="5"/>
      <c r="G876" s="5"/>
      <c r="H876" s="5"/>
      <c r="I876" s="5"/>
      <c r="J876" s="5"/>
      <c r="K876" s="5"/>
      <c r="L876" s="5"/>
      <c r="M876" s="5"/>
      <c r="N876" s="5"/>
      <c r="O876" s="5"/>
      <c r="P876" s="5"/>
      <c r="Q876" s="5"/>
      <c r="R876" s="5"/>
      <c r="S876" s="5"/>
      <c r="T876" s="5"/>
      <c r="U876" s="5"/>
      <c r="V876" s="5"/>
      <c r="W876" s="5"/>
    </row>
    <row r="877" spans="1:23" ht="16" x14ac:dyDescent="0.2">
      <c r="A877" s="5"/>
      <c r="B877" s="6"/>
      <c r="C877" s="6"/>
      <c r="D877" s="6"/>
      <c r="E877" s="6"/>
      <c r="F877" s="5"/>
      <c r="G877" s="5"/>
      <c r="H877" s="5"/>
      <c r="I877" s="5"/>
      <c r="J877" s="5"/>
      <c r="K877" s="5"/>
      <c r="L877" s="5"/>
      <c r="M877" s="5"/>
      <c r="N877" s="5"/>
      <c r="O877" s="5"/>
      <c r="P877" s="5"/>
      <c r="Q877" s="5"/>
      <c r="R877" s="5"/>
      <c r="S877" s="5"/>
      <c r="T877" s="5"/>
      <c r="U877" s="5"/>
      <c r="V877" s="5"/>
      <c r="W877" s="5"/>
    </row>
    <row r="878" spans="1:23" ht="16" x14ac:dyDescent="0.2">
      <c r="A878" s="5"/>
      <c r="B878" s="6"/>
      <c r="C878" s="6"/>
      <c r="D878" s="6"/>
      <c r="E878" s="6"/>
      <c r="F878" s="5"/>
      <c r="G878" s="5"/>
      <c r="H878" s="5"/>
      <c r="I878" s="5"/>
      <c r="J878" s="5"/>
      <c r="K878" s="5"/>
      <c r="L878" s="5"/>
      <c r="M878" s="5"/>
      <c r="N878" s="5"/>
      <c r="O878" s="5"/>
      <c r="P878" s="5"/>
      <c r="Q878" s="5"/>
      <c r="R878" s="5"/>
      <c r="S878" s="5"/>
      <c r="T878" s="5"/>
      <c r="U878" s="5"/>
      <c r="V878" s="5"/>
      <c r="W878" s="5"/>
    </row>
    <row r="879" spans="1:23" ht="16" x14ac:dyDescent="0.2">
      <c r="A879" s="5"/>
      <c r="B879" s="6"/>
      <c r="C879" s="6"/>
      <c r="D879" s="6"/>
      <c r="E879" s="6"/>
      <c r="F879" s="5"/>
      <c r="G879" s="5"/>
      <c r="H879" s="5"/>
      <c r="I879" s="5"/>
      <c r="J879" s="5"/>
      <c r="K879" s="5"/>
      <c r="L879" s="5"/>
      <c r="M879" s="5"/>
      <c r="N879" s="5"/>
      <c r="O879" s="5"/>
      <c r="P879" s="5"/>
      <c r="Q879" s="5"/>
      <c r="R879" s="5"/>
      <c r="S879" s="5"/>
      <c r="T879" s="5"/>
      <c r="U879" s="5"/>
      <c r="V879" s="5"/>
      <c r="W879" s="5"/>
    </row>
    <row r="880" spans="1:23" ht="16" x14ac:dyDescent="0.2">
      <c r="A880" s="5"/>
      <c r="B880" s="6"/>
      <c r="C880" s="6"/>
      <c r="D880" s="6"/>
      <c r="E880" s="6"/>
      <c r="F880" s="5"/>
      <c r="G880" s="5"/>
      <c r="H880" s="5"/>
      <c r="I880" s="5"/>
      <c r="J880" s="5"/>
      <c r="K880" s="5"/>
      <c r="L880" s="5"/>
      <c r="M880" s="5"/>
      <c r="N880" s="5"/>
      <c r="O880" s="5"/>
      <c r="P880" s="5"/>
      <c r="Q880" s="5"/>
      <c r="R880" s="5"/>
      <c r="S880" s="5"/>
      <c r="T880" s="5"/>
      <c r="U880" s="5"/>
      <c r="V880" s="5"/>
      <c r="W880" s="5"/>
    </row>
    <row r="881" spans="1:23" ht="16" x14ac:dyDescent="0.2">
      <c r="A881" s="5"/>
      <c r="B881" s="6"/>
      <c r="C881" s="6"/>
      <c r="D881" s="6"/>
      <c r="E881" s="6"/>
      <c r="F881" s="5"/>
      <c r="G881" s="5"/>
      <c r="H881" s="5"/>
      <c r="I881" s="5"/>
      <c r="J881" s="5"/>
      <c r="K881" s="5"/>
      <c r="L881" s="5"/>
      <c r="M881" s="5"/>
      <c r="N881" s="5"/>
      <c r="O881" s="5"/>
      <c r="P881" s="5"/>
      <c r="Q881" s="5"/>
      <c r="R881" s="5"/>
      <c r="S881" s="5"/>
      <c r="T881" s="5"/>
      <c r="U881" s="5"/>
      <c r="V881" s="5"/>
      <c r="W881" s="5"/>
    </row>
    <row r="882" spans="1:23" ht="16" x14ac:dyDescent="0.2">
      <c r="A882" s="5"/>
      <c r="B882" s="6"/>
      <c r="C882" s="6"/>
      <c r="D882" s="6"/>
      <c r="E882" s="6"/>
      <c r="F882" s="5"/>
      <c r="G882" s="5"/>
      <c r="H882" s="5"/>
      <c r="I882" s="5"/>
      <c r="J882" s="5"/>
      <c r="K882" s="5"/>
      <c r="L882" s="5"/>
      <c r="M882" s="5"/>
      <c r="N882" s="5"/>
      <c r="O882" s="5"/>
      <c r="P882" s="5"/>
      <c r="Q882" s="5"/>
      <c r="R882" s="5"/>
      <c r="S882" s="5"/>
      <c r="T882" s="5"/>
      <c r="U882" s="5"/>
      <c r="V882" s="5"/>
      <c r="W882" s="5"/>
    </row>
    <row r="883" spans="1:23" ht="16" x14ac:dyDescent="0.2">
      <c r="A883" s="5"/>
      <c r="B883" s="6"/>
      <c r="C883" s="6"/>
      <c r="D883" s="6"/>
      <c r="E883" s="6"/>
      <c r="F883" s="5"/>
      <c r="G883" s="5"/>
      <c r="H883" s="5"/>
      <c r="I883" s="5"/>
      <c r="J883" s="5"/>
      <c r="K883" s="5"/>
      <c r="L883" s="5"/>
      <c r="M883" s="5"/>
      <c r="N883" s="5"/>
      <c r="O883" s="5"/>
      <c r="P883" s="5"/>
      <c r="Q883" s="5"/>
      <c r="R883" s="5"/>
      <c r="S883" s="5"/>
      <c r="T883" s="5"/>
      <c r="U883" s="5"/>
      <c r="V883" s="5"/>
      <c r="W883" s="5"/>
    </row>
    <row r="884" spans="1:23" ht="16" x14ac:dyDescent="0.2">
      <c r="A884" s="5"/>
      <c r="B884" s="6"/>
      <c r="C884" s="6"/>
      <c r="D884" s="6"/>
      <c r="E884" s="6"/>
      <c r="F884" s="5"/>
      <c r="G884" s="5"/>
      <c r="H884" s="5"/>
      <c r="I884" s="5"/>
      <c r="J884" s="5"/>
      <c r="K884" s="5"/>
      <c r="L884" s="5"/>
      <c r="M884" s="5"/>
      <c r="N884" s="5"/>
      <c r="O884" s="5"/>
      <c r="P884" s="5"/>
      <c r="Q884" s="5"/>
      <c r="R884" s="5"/>
      <c r="S884" s="5"/>
      <c r="T884" s="5"/>
      <c r="U884" s="5"/>
      <c r="V884" s="5"/>
      <c r="W884" s="5"/>
    </row>
    <row r="885" spans="1:23" ht="16" x14ac:dyDescent="0.2">
      <c r="A885" s="5"/>
      <c r="B885" s="6"/>
      <c r="C885" s="6"/>
      <c r="D885" s="6"/>
      <c r="E885" s="6"/>
      <c r="F885" s="5"/>
      <c r="G885" s="5"/>
      <c r="H885" s="5"/>
      <c r="I885" s="5"/>
      <c r="J885" s="5"/>
      <c r="K885" s="5"/>
      <c r="L885" s="5"/>
      <c r="M885" s="5"/>
      <c r="N885" s="5"/>
      <c r="O885" s="5"/>
      <c r="P885" s="5"/>
      <c r="Q885" s="5"/>
      <c r="R885" s="5"/>
      <c r="S885" s="5"/>
      <c r="T885" s="5"/>
      <c r="U885" s="5"/>
      <c r="V885" s="5"/>
      <c r="W885" s="5"/>
    </row>
    <row r="886" spans="1:23" ht="16" x14ac:dyDescent="0.2">
      <c r="A886" s="5"/>
      <c r="B886" s="6"/>
      <c r="C886" s="6"/>
      <c r="D886" s="6"/>
      <c r="E886" s="6"/>
      <c r="F886" s="5"/>
      <c r="G886" s="5"/>
      <c r="H886" s="5"/>
      <c r="I886" s="5"/>
      <c r="J886" s="5"/>
      <c r="K886" s="5"/>
      <c r="L886" s="5"/>
      <c r="M886" s="5"/>
      <c r="N886" s="5"/>
      <c r="O886" s="5"/>
      <c r="P886" s="5"/>
      <c r="Q886" s="5"/>
      <c r="R886" s="5"/>
      <c r="S886" s="5"/>
      <c r="T886" s="5"/>
      <c r="U886" s="5"/>
      <c r="V886" s="5"/>
      <c r="W886" s="5"/>
    </row>
    <row r="887" spans="1:23" ht="16" x14ac:dyDescent="0.2">
      <c r="A887" s="5"/>
      <c r="B887" s="6"/>
      <c r="C887" s="6"/>
      <c r="D887" s="6"/>
      <c r="E887" s="6"/>
      <c r="F887" s="5"/>
      <c r="G887" s="5"/>
      <c r="H887" s="5"/>
      <c r="I887" s="5"/>
      <c r="J887" s="5"/>
      <c r="K887" s="5"/>
      <c r="L887" s="5"/>
      <c r="M887" s="5"/>
      <c r="N887" s="5"/>
      <c r="O887" s="5"/>
      <c r="P887" s="5"/>
      <c r="Q887" s="5"/>
      <c r="R887" s="5"/>
      <c r="S887" s="5"/>
      <c r="T887" s="5"/>
      <c r="U887" s="5"/>
      <c r="V887" s="5"/>
      <c r="W887" s="5"/>
    </row>
    <row r="888" spans="1:23" ht="16" x14ac:dyDescent="0.2">
      <c r="A888" s="5"/>
      <c r="B888" s="6"/>
      <c r="C888" s="6"/>
      <c r="D888" s="6"/>
      <c r="E888" s="6"/>
      <c r="F888" s="5"/>
      <c r="G888" s="5"/>
      <c r="H888" s="5"/>
      <c r="I888" s="5"/>
      <c r="J888" s="5"/>
      <c r="K888" s="5"/>
      <c r="L888" s="5"/>
      <c r="M888" s="5"/>
      <c r="N888" s="5"/>
      <c r="O888" s="5"/>
      <c r="P888" s="5"/>
      <c r="Q888" s="5"/>
      <c r="R888" s="5"/>
      <c r="S888" s="5"/>
      <c r="T888" s="5"/>
      <c r="U888" s="5"/>
      <c r="V888" s="5"/>
      <c r="W888" s="5"/>
    </row>
    <row r="889" spans="1:23" ht="16" x14ac:dyDescent="0.2">
      <c r="A889" s="5"/>
      <c r="B889" s="6"/>
      <c r="C889" s="6"/>
      <c r="D889" s="6"/>
      <c r="E889" s="6"/>
      <c r="F889" s="5"/>
      <c r="G889" s="5"/>
      <c r="H889" s="5"/>
      <c r="I889" s="5"/>
      <c r="J889" s="5"/>
      <c r="K889" s="5"/>
      <c r="L889" s="5"/>
      <c r="M889" s="5"/>
      <c r="N889" s="5"/>
      <c r="O889" s="5"/>
      <c r="P889" s="5"/>
      <c r="Q889" s="5"/>
      <c r="R889" s="5"/>
      <c r="S889" s="5"/>
      <c r="T889" s="5"/>
      <c r="U889" s="5"/>
      <c r="V889" s="5"/>
      <c r="W889" s="5"/>
    </row>
    <row r="890" spans="1:23" ht="16" x14ac:dyDescent="0.2">
      <c r="A890" s="5"/>
      <c r="B890" s="6"/>
      <c r="C890" s="6"/>
      <c r="D890" s="6"/>
      <c r="E890" s="6"/>
      <c r="F890" s="5"/>
      <c r="G890" s="5"/>
      <c r="H890" s="5"/>
      <c r="I890" s="5"/>
      <c r="J890" s="5"/>
      <c r="K890" s="5"/>
      <c r="L890" s="5"/>
      <c r="M890" s="5"/>
      <c r="N890" s="5"/>
      <c r="O890" s="5"/>
      <c r="P890" s="5"/>
      <c r="Q890" s="5"/>
      <c r="R890" s="5"/>
      <c r="S890" s="5"/>
      <c r="T890" s="5"/>
      <c r="U890" s="5"/>
      <c r="V890" s="5"/>
      <c r="W890" s="5"/>
    </row>
    <row r="891" spans="1:23" ht="16" x14ac:dyDescent="0.2">
      <c r="A891" s="5"/>
      <c r="B891" s="6"/>
      <c r="C891" s="6"/>
      <c r="D891" s="6"/>
      <c r="E891" s="6"/>
      <c r="F891" s="5"/>
      <c r="G891" s="5"/>
      <c r="H891" s="5"/>
      <c r="I891" s="5"/>
      <c r="J891" s="5"/>
      <c r="K891" s="5"/>
      <c r="L891" s="5"/>
      <c r="M891" s="5"/>
      <c r="N891" s="5"/>
      <c r="O891" s="5"/>
      <c r="P891" s="5"/>
      <c r="Q891" s="5"/>
      <c r="R891" s="5"/>
      <c r="S891" s="5"/>
      <c r="T891" s="5"/>
      <c r="U891" s="5"/>
      <c r="V891" s="5"/>
      <c r="W891" s="5"/>
    </row>
    <row r="892" spans="1:23" ht="16" x14ac:dyDescent="0.2">
      <c r="A892" s="5"/>
      <c r="B892" s="6"/>
      <c r="C892" s="6"/>
      <c r="D892" s="6"/>
      <c r="E892" s="6"/>
      <c r="F892" s="5"/>
      <c r="G892" s="5"/>
      <c r="H892" s="5"/>
      <c r="I892" s="5"/>
      <c r="J892" s="5"/>
      <c r="K892" s="5"/>
      <c r="L892" s="5"/>
      <c r="M892" s="5"/>
      <c r="N892" s="5"/>
      <c r="O892" s="5"/>
      <c r="P892" s="5"/>
      <c r="Q892" s="5"/>
      <c r="R892" s="5"/>
      <c r="S892" s="5"/>
      <c r="T892" s="5"/>
      <c r="U892" s="5"/>
      <c r="V892" s="5"/>
      <c r="W892" s="5"/>
    </row>
    <row r="893" spans="1:23" ht="16" x14ac:dyDescent="0.2">
      <c r="A893" s="5"/>
      <c r="B893" s="6"/>
      <c r="C893" s="6"/>
      <c r="D893" s="6"/>
      <c r="E893" s="6"/>
      <c r="F893" s="5"/>
      <c r="G893" s="5"/>
      <c r="H893" s="5"/>
      <c r="I893" s="5"/>
      <c r="J893" s="5"/>
      <c r="K893" s="5"/>
      <c r="L893" s="5"/>
      <c r="M893" s="5"/>
      <c r="N893" s="5"/>
      <c r="O893" s="5"/>
      <c r="P893" s="5"/>
      <c r="Q893" s="5"/>
      <c r="R893" s="5"/>
      <c r="S893" s="5"/>
      <c r="T893" s="5"/>
      <c r="U893" s="5"/>
      <c r="V893" s="5"/>
      <c r="W893" s="5"/>
    </row>
    <row r="894" spans="1:23" ht="16" x14ac:dyDescent="0.2">
      <c r="A894" s="5"/>
      <c r="B894" s="6"/>
      <c r="C894" s="6"/>
      <c r="D894" s="6"/>
      <c r="E894" s="6"/>
      <c r="F894" s="5"/>
      <c r="G894" s="5"/>
      <c r="H894" s="5"/>
      <c r="I894" s="5"/>
      <c r="J894" s="5"/>
      <c r="K894" s="5"/>
      <c r="L894" s="5"/>
      <c r="M894" s="5"/>
      <c r="N894" s="5"/>
      <c r="O894" s="5"/>
      <c r="P894" s="5"/>
      <c r="Q894" s="5"/>
      <c r="R894" s="5"/>
      <c r="S894" s="5"/>
      <c r="T894" s="5"/>
      <c r="U894" s="5"/>
      <c r="V894" s="5"/>
      <c r="W894" s="5"/>
    </row>
    <row r="895" spans="1:23" ht="16" x14ac:dyDescent="0.2">
      <c r="A895" s="5"/>
      <c r="B895" s="6"/>
      <c r="C895" s="6"/>
      <c r="D895" s="6"/>
      <c r="E895" s="6"/>
      <c r="F895" s="5"/>
      <c r="G895" s="5"/>
      <c r="H895" s="5"/>
      <c r="I895" s="5"/>
      <c r="J895" s="5"/>
      <c r="K895" s="5"/>
      <c r="L895" s="5"/>
      <c r="M895" s="5"/>
      <c r="N895" s="5"/>
      <c r="O895" s="5"/>
      <c r="P895" s="5"/>
      <c r="Q895" s="5"/>
      <c r="R895" s="5"/>
      <c r="S895" s="5"/>
      <c r="T895" s="5"/>
      <c r="U895" s="5"/>
      <c r="V895" s="5"/>
      <c r="W895" s="5"/>
    </row>
    <row r="896" spans="1:23" ht="16" x14ac:dyDescent="0.2">
      <c r="A896" s="5"/>
      <c r="B896" s="6"/>
      <c r="C896" s="6"/>
      <c r="D896" s="6"/>
      <c r="E896" s="6"/>
      <c r="F896" s="5"/>
      <c r="G896" s="5"/>
      <c r="H896" s="5"/>
      <c r="I896" s="5"/>
      <c r="J896" s="5"/>
      <c r="K896" s="5"/>
      <c r="L896" s="5"/>
      <c r="M896" s="5"/>
      <c r="N896" s="5"/>
      <c r="O896" s="5"/>
      <c r="P896" s="5"/>
      <c r="Q896" s="5"/>
      <c r="R896" s="5"/>
      <c r="S896" s="5"/>
      <c r="T896" s="5"/>
      <c r="U896" s="5"/>
      <c r="V896" s="5"/>
      <c r="W896" s="5"/>
    </row>
    <row r="897" spans="1:23" ht="16" x14ac:dyDescent="0.2">
      <c r="A897" s="5"/>
      <c r="B897" s="6"/>
      <c r="C897" s="6"/>
      <c r="D897" s="6"/>
      <c r="E897" s="6"/>
      <c r="F897" s="5"/>
      <c r="G897" s="5"/>
      <c r="H897" s="5"/>
      <c r="I897" s="5"/>
      <c r="J897" s="5"/>
      <c r="K897" s="5"/>
      <c r="L897" s="5"/>
      <c r="M897" s="5"/>
      <c r="N897" s="5"/>
      <c r="O897" s="5"/>
      <c r="P897" s="5"/>
      <c r="Q897" s="5"/>
      <c r="R897" s="5"/>
      <c r="S897" s="5"/>
      <c r="T897" s="5"/>
      <c r="U897" s="5"/>
      <c r="V897" s="5"/>
      <c r="W897" s="5"/>
    </row>
    <row r="898" spans="1:23" ht="16" x14ac:dyDescent="0.2">
      <c r="A898" s="5"/>
      <c r="B898" s="6"/>
      <c r="C898" s="6"/>
      <c r="D898" s="6"/>
      <c r="E898" s="6"/>
      <c r="F898" s="5"/>
      <c r="G898" s="5"/>
      <c r="H898" s="5"/>
      <c r="I898" s="5"/>
      <c r="J898" s="5"/>
      <c r="K898" s="5"/>
      <c r="L898" s="5"/>
      <c r="M898" s="5"/>
      <c r="N898" s="5"/>
      <c r="O898" s="5"/>
      <c r="P898" s="5"/>
      <c r="Q898" s="5"/>
      <c r="R898" s="5"/>
      <c r="S898" s="5"/>
      <c r="T898" s="5"/>
      <c r="U898" s="5"/>
      <c r="V898" s="5"/>
      <c r="W898" s="5"/>
    </row>
    <row r="899" spans="1:23" ht="16" x14ac:dyDescent="0.2">
      <c r="A899" s="5"/>
      <c r="B899" s="6"/>
      <c r="C899" s="6"/>
      <c r="D899" s="6"/>
      <c r="E899" s="6"/>
      <c r="F899" s="5"/>
      <c r="G899" s="5"/>
      <c r="H899" s="5"/>
      <c r="I899" s="5"/>
      <c r="J899" s="5"/>
      <c r="K899" s="5"/>
      <c r="L899" s="5"/>
      <c r="M899" s="5"/>
      <c r="N899" s="5"/>
      <c r="O899" s="5"/>
      <c r="P899" s="5"/>
      <c r="Q899" s="5"/>
      <c r="R899" s="5"/>
      <c r="S899" s="5"/>
      <c r="T899" s="5"/>
      <c r="U899" s="5"/>
      <c r="V899" s="5"/>
      <c r="W899" s="5"/>
    </row>
    <row r="900" spans="1:23" ht="16" x14ac:dyDescent="0.2">
      <c r="A900" s="5"/>
      <c r="B900" s="6"/>
      <c r="C900" s="6"/>
      <c r="D900" s="6"/>
      <c r="E900" s="6"/>
      <c r="F900" s="5"/>
      <c r="G900" s="5"/>
      <c r="H900" s="5"/>
      <c r="I900" s="5"/>
      <c r="J900" s="5"/>
      <c r="K900" s="5"/>
      <c r="L900" s="5"/>
      <c r="M900" s="5"/>
      <c r="N900" s="5"/>
      <c r="O900" s="5"/>
      <c r="P900" s="5"/>
      <c r="Q900" s="5"/>
      <c r="R900" s="5"/>
      <c r="S900" s="5"/>
      <c r="T900" s="5"/>
      <c r="U900" s="5"/>
      <c r="V900" s="5"/>
      <c r="W900" s="5"/>
    </row>
    <row r="901" spans="1:23" ht="16" x14ac:dyDescent="0.2">
      <c r="A901" s="5"/>
      <c r="B901" s="6"/>
      <c r="C901" s="6"/>
      <c r="D901" s="6"/>
      <c r="E901" s="6"/>
      <c r="F901" s="5"/>
      <c r="G901" s="5"/>
      <c r="H901" s="5"/>
      <c r="I901" s="5"/>
      <c r="J901" s="5"/>
      <c r="K901" s="5"/>
      <c r="L901" s="5"/>
      <c r="M901" s="5"/>
      <c r="N901" s="5"/>
      <c r="O901" s="5"/>
      <c r="P901" s="5"/>
      <c r="Q901" s="5"/>
      <c r="R901" s="5"/>
      <c r="S901" s="5"/>
      <c r="T901" s="5"/>
      <c r="U901" s="5"/>
      <c r="V901" s="5"/>
      <c r="W901" s="5"/>
    </row>
    <row r="902" spans="1:23" ht="16" x14ac:dyDescent="0.2">
      <c r="A902" s="5"/>
      <c r="B902" s="6"/>
      <c r="C902" s="6"/>
      <c r="D902" s="6"/>
      <c r="E902" s="6"/>
      <c r="F902" s="5"/>
      <c r="G902" s="5"/>
      <c r="H902" s="5"/>
      <c r="I902" s="5"/>
      <c r="J902" s="5"/>
      <c r="K902" s="5"/>
      <c r="L902" s="5"/>
      <c r="M902" s="5"/>
      <c r="N902" s="5"/>
      <c r="O902" s="5"/>
      <c r="P902" s="5"/>
      <c r="Q902" s="5"/>
      <c r="R902" s="5"/>
      <c r="S902" s="5"/>
      <c r="T902" s="5"/>
      <c r="U902" s="5"/>
      <c r="V902" s="5"/>
      <c r="W902" s="5"/>
    </row>
    <row r="903" spans="1:23" ht="16" x14ac:dyDescent="0.2">
      <c r="A903" s="5"/>
      <c r="B903" s="6"/>
      <c r="C903" s="6"/>
      <c r="D903" s="6"/>
      <c r="E903" s="6"/>
      <c r="F903" s="5"/>
      <c r="G903" s="5"/>
      <c r="H903" s="5"/>
      <c r="I903" s="5"/>
      <c r="J903" s="5"/>
      <c r="K903" s="5"/>
      <c r="L903" s="5"/>
      <c r="M903" s="5"/>
      <c r="N903" s="5"/>
      <c r="O903" s="5"/>
      <c r="P903" s="5"/>
      <c r="Q903" s="5"/>
      <c r="R903" s="5"/>
      <c r="S903" s="5"/>
      <c r="T903" s="5"/>
      <c r="U903" s="5"/>
      <c r="V903" s="5"/>
      <c r="W903" s="5"/>
    </row>
    <row r="904" spans="1:23" ht="16" x14ac:dyDescent="0.2">
      <c r="A904" s="5"/>
      <c r="B904" s="6"/>
      <c r="C904" s="6"/>
      <c r="D904" s="6"/>
      <c r="E904" s="6"/>
      <c r="F904" s="5"/>
      <c r="G904" s="5"/>
      <c r="H904" s="5"/>
      <c r="I904" s="5"/>
      <c r="J904" s="5"/>
      <c r="K904" s="5"/>
      <c r="L904" s="5"/>
      <c r="M904" s="5"/>
      <c r="N904" s="5"/>
      <c r="O904" s="5"/>
      <c r="P904" s="5"/>
      <c r="Q904" s="5"/>
      <c r="R904" s="5"/>
      <c r="S904" s="5"/>
      <c r="T904" s="5"/>
      <c r="U904" s="5"/>
      <c r="V904" s="5"/>
      <c r="W904" s="5"/>
    </row>
    <row r="905" spans="1:23" ht="16" x14ac:dyDescent="0.2">
      <c r="A905" s="5"/>
      <c r="B905" s="6"/>
      <c r="C905" s="6"/>
      <c r="D905" s="6"/>
      <c r="E905" s="6"/>
      <c r="F905" s="5"/>
      <c r="G905" s="5"/>
      <c r="H905" s="5"/>
      <c r="I905" s="5"/>
      <c r="J905" s="5"/>
      <c r="K905" s="5"/>
      <c r="L905" s="5"/>
      <c r="M905" s="5"/>
      <c r="N905" s="5"/>
      <c r="O905" s="5"/>
      <c r="P905" s="5"/>
      <c r="Q905" s="5"/>
      <c r="R905" s="5"/>
      <c r="S905" s="5"/>
      <c r="T905" s="5"/>
      <c r="U905" s="5"/>
      <c r="V905" s="5"/>
      <c r="W905" s="5"/>
    </row>
    <row r="906" spans="1:23" ht="16" x14ac:dyDescent="0.2">
      <c r="A906" s="5"/>
      <c r="B906" s="6"/>
      <c r="C906" s="6"/>
      <c r="D906" s="6"/>
      <c r="E906" s="6"/>
      <c r="F906" s="5"/>
      <c r="G906" s="5"/>
      <c r="H906" s="5"/>
      <c r="I906" s="5"/>
      <c r="J906" s="5"/>
      <c r="K906" s="5"/>
      <c r="L906" s="5"/>
      <c r="M906" s="5"/>
      <c r="N906" s="5"/>
      <c r="O906" s="5"/>
      <c r="P906" s="5"/>
      <c r="Q906" s="5"/>
      <c r="R906" s="5"/>
      <c r="S906" s="5"/>
      <c r="T906" s="5"/>
      <c r="U906" s="5"/>
      <c r="V906" s="5"/>
      <c r="W906" s="5"/>
    </row>
    <row r="907" spans="1:23" ht="16" x14ac:dyDescent="0.2">
      <c r="A907" s="5"/>
      <c r="B907" s="6"/>
      <c r="C907" s="6"/>
      <c r="D907" s="6"/>
      <c r="E907" s="6"/>
      <c r="F907" s="5"/>
      <c r="G907" s="5"/>
      <c r="H907" s="5"/>
      <c r="I907" s="5"/>
      <c r="J907" s="5"/>
      <c r="K907" s="5"/>
      <c r="L907" s="5"/>
      <c r="M907" s="5"/>
      <c r="N907" s="5"/>
      <c r="O907" s="5"/>
      <c r="P907" s="5"/>
      <c r="Q907" s="5"/>
      <c r="R907" s="5"/>
      <c r="S907" s="5"/>
      <c r="T907" s="5"/>
      <c r="U907" s="5"/>
      <c r="V907" s="5"/>
      <c r="W907" s="5"/>
    </row>
    <row r="908" spans="1:23" ht="16" x14ac:dyDescent="0.2">
      <c r="A908" s="5"/>
      <c r="B908" s="6"/>
      <c r="C908" s="6"/>
      <c r="D908" s="6"/>
      <c r="E908" s="6"/>
      <c r="F908" s="5"/>
      <c r="G908" s="5"/>
      <c r="H908" s="5"/>
      <c r="I908" s="5"/>
      <c r="J908" s="5"/>
      <c r="K908" s="5"/>
      <c r="L908" s="5"/>
      <c r="M908" s="5"/>
      <c r="N908" s="5"/>
      <c r="O908" s="5"/>
      <c r="P908" s="5"/>
      <c r="Q908" s="5"/>
      <c r="R908" s="5"/>
      <c r="S908" s="5"/>
      <c r="T908" s="5"/>
      <c r="U908" s="5"/>
      <c r="V908" s="5"/>
      <c r="W908" s="5"/>
    </row>
    <row r="909" spans="1:23" ht="16" x14ac:dyDescent="0.2">
      <c r="A909" s="5"/>
      <c r="B909" s="6"/>
      <c r="C909" s="6"/>
      <c r="D909" s="6"/>
      <c r="E909" s="6"/>
      <c r="F909" s="5"/>
      <c r="G909" s="5"/>
      <c r="H909" s="5"/>
      <c r="I909" s="5"/>
      <c r="J909" s="5"/>
      <c r="K909" s="5"/>
      <c r="L909" s="5"/>
      <c r="M909" s="5"/>
      <c r="N909" s="5"/>
      <c r="O909" s="5"/>
      <c r="P909" s="5"/>
      <c r="Q909" s="5"/>
      <c r="R909" s="5"/>
      <c r="S909" s="5"/>
      <c r="T909" s="5"/>
      <c r="U909" s="5"/>
      <c r="V909" s="5"/>
      <c r="W909" s="5"/>
    </row>
    <row r="910" spans="1:23" ht="16" x14ac:dyDescent="0.2">
      <c r="A910" s="5"/>
      <c r="B910" s="6"/>
      <c r="C910" s="6"/>
      <c r="D910" s="6"/>
      <c r="E910" s="6"/>
      <c r="F910" s="5"/>
      <c r="G910" s="5"/>
      <c r="H910" s="5"/>
      <c r="I910" s="5"/>
      <c r="J910" s="5"/>
      <c r="K910" s="5"/>
      <c r="L910" s="5"/>
      <c r="M910" s="5"/>
      <c r="N910" s="5"/>
      <c r="O910" s="5"/>
      <c r="P910" s="5"/>
      <c r="Q910" s="5"/>
      <c r="R910" s="5"/>
      <c r="S910" s="5"/>
      <c r="T910" s="5"/>
      <c r="U910" s="5"/>
      <c r="V910" s="5"/>
      <c r="W910" s="5"/>
    </row>
    <row r="911" spans="1:23" ht="16" x14ac:dyDescent="0.2">
      <c r="A911" s="5"/>
      <c r="B911" s="6"/>
      <c r="C911" s="6"/>
      <c r="D911" s="6"/>
      <c r="E911" s="6"/>
      <c r="F911" s="5"/>
      <c r="G911" s="5"/>
      <c r="H911" s="5"/>
      <c r="I911" s="5"/>
      <c r="J911" s="5"/>
      <c r="K911" s="5"/>
      <c r="L911" s="5"/>
      <c r="M911" s="5"/>
      <c r="N911" s="5"/>
      <c r="O911" s="5"/>
      <c r="P911" s="5"/>
      <c r="Q911" s="5"/>
      <c r="R911" s="5"/>
      <c r="S911" s="5"/>
      <c r="T911" s="5"/>
      <c r="U911" s="5"/>
      <c r="V911" s="5"/>
      <c r="W911" s="5"/>
    </row>
    <row r="912" spans="1:23" ht="16" x14ac:dyDescent="0.2">
      <c r="A912" s="5"/>
      <c r="B912" s="6"/>
      <c r="C912" s="6"/>
      <c r="D912" s="6"/>
      <c r="E912" s="6"/>
      <c r="F912" s="5"/>
      <c r="G912" s="5"/>
      <c r="H912" s="5"/>
      <c r="I912" s="5"/>
      <c r="J912" s="5"/>
      <c r="K912" s="5"/>
      <c r="L912" s="5"/>
      <c r="M912" s="5"/>
      <c r="N912" s="5"/>
      <c r="O912" s="5"/>
      <c r="P912" s="5"/>
      <c r="Q912" s="5"/>
      <c r="R912" s="5"/>
      <c r="S912" s="5"/>
      <c r="T912" s="5"/>
      <c r="U912" s="5"/>
      <c r="V912" s="5"/>
      <c r="W912" s="5"/>
    </row>
    <row r="913" spans="1:23" ht="16" x14ac:dyDescent="0.2">
      <c r="A913" s="5"/>
      <c r="B913" s="6"/>
      <c r="C913" s="6"/>
      <c r="D913" s="6"/>
      <c r="E913" s="6"/>
      <c r="F913" s="5"/>
      <c r="G913" s="5"/>
      <c r="H913" s="5"/>
      <c r="I913" s="5"/>
      <c r="J913" s="5"/>
      <c r="K913" s="5"/>
      <c r="L913" s="5"/>
      <c r="M913" s="5"/>
      <c r="N913" s="5"/>
      <c r="O913" s="5"/>
      <c r="P913" s="5"/>
      <c r="Q913" s="5"/>
      <c r="R913" s="5"/>
      <c r="S913" s="5"/>
      <c r="T913" s="5"/>
      <c r="U913" s="5"/>
      <c r="V913" s="5"/>
      <c r="W913" s="5"/>
    </row>
    <row r="914" spans="1:23" ht="16" x14ac:dyDescent="0.2">
      <c r="A914" s="5"/>
      <c r="B914" s="6"/>
      <c r="C914" s="6"/>
      <c r="D914" s="6"/>
      <c r="E914" s="6"/>
      <c r="F914" s="5"/>
      <c r="G914" s="5"/>
      <c r="H914" s="5"/>
      <c r="I914" s="5"/>
      <c r="J914" s="5"/>
      <c r="K914" s="5"/>
      <c r="L914" s="5"/>
      <c r="M914" s="5"/>
      <c r="N914" s="5"/>
      <c r="O914" s="5"/>
      <c r="P914" s="5"/>
      <c r="Q914" s="5"/>
      <c r="R914" s="5"/>
      <c r="S914" s="5"/>
      <c r="T914" s="5"/>
      <c r="U914" s="5"/>
      <c r="V914" s="5"/>
      <c r="W914" s="5"/>
    </row>
    <row r="915" spans="1:23" ht="16" x14ac:dyDescent="0.2">
      <c r="A915" s="5"/>
      <c r="B915" s="6"/>
      <c r="C915" s="6"/>
      <c r="D915" s="6"/>
      <c r="E915" s="6"/>
      <c r="F915" s="5"/>
      <c r="G915" s="5"/>
      <c r="H915" s="5"/>
      <c r="I915" s="5"/>
      <c r="J915" s="5"/>
      <c r="K915" s="5"/>
      <c r="L915" s="5"/>
      <c r="M915" s="5"/>
      <c r="N915" s="5"/>
      <c r="O915" s="5"/>
      <c r="P915" s="5"/>
      <c r="Q915" s="5"/>
      <c r="R915" s="5"/>
      <c r="S915" s="5"/>
      <c r="T915" s="5"/>
      <c r="U915" s="5"/>
      <c r="V915" s="5"/>
      <c r="W915" s="5"/>
    </row>
    <row r="916" spans="1:23" ht="16" x14ac:dyDescent="0.2">
      <c r="A916" s="5"/>
      <c r="B916" s="6"/>
      <c r="C916" s="6"/>
      <c r="D916" s="6"/>
      <c r="E916" s="6"/>
      <c r="F916" s="5"/>
      <c r="G916" s="5"/>
      <c r="H916" s="5"/>
      <c r="I916" s="5"/>
      <c r="J916" s="5"/>
      <c r="K916" s="5"/>
      <c r="L916" s="5"/>
      <c r="M916" s="5"/>
      <c r="N916" s="5"/>
      <c r="O916" s="5"/>
      <c r="P916" s="5"/>
      <c r="Q916" s="5"/>
      <c r="R916" s="5"/>
      <c r="S916" s="5"/>
      <c r="T916" s="5"/>
      <c r="U916" s="5"/>
      <c r="V916" s="5"/>
      <c r="W916" s="5"/>
    </row>
    <row r="917" spans="1:23" ht="16" x14ac:dyDescent="0.2">
      <c r="A917" s="5"/>
      <c r="B917" s="6"/>
      <c r="C917" s="6"/>
      <c r="D917" s="6"/>
      <c r="E917" s="6"/>
      <c r="F917" s="5"/>
      <c r="G917" s="5"/>
      <c r="H917" s="5"/>
      <c r="I917" s="5"/>
      <c r="J917" s="5"/>
      <c r="K917" s="5"/>
      <c r="L917" s="5"/>
      <c r="M917" s="5"/>
      <c r="N917" s="5"/>
      <c r="O917" s="5"/>
      <c r="P917" s="5"/>
      <c r="Q917" s="5"/>
      <c r="R917" s="5"/>
      <c r="S917" s="5"/>
      <c r="T917" s="5"/>
      <c r="U917" s="5"/>
      <c r="V917" s="5"/>
      <c r="W917" s="5"/>
    </row>
    <row r="918" spans="1:23" ht="16" x14ac:dyDescent="0.2">
      <c r="A918" s="5"/>
      <c r="B918" s="6"/>
      <c r="C918" s="6"/>
      <c r="D918" s="6"/>
      <c r="E918" s="6"/>
      <c r="F918" s="5"/>
      <c r="G918" s="5"/>
      <c r="H918" s="5"/>
      <c r="I918" s="5"/>
      <c r="J918" s="5"/>
      <c r="K918" s="5"/>
      <c r="L918" s="5"/>
      <c r="M918" s="5"/>
      <c r="N918" s="5"/>
      <c r="O918" s="5"/>
      <c r="P918" s="5"/>
      <c r="Q918" s="5"/>
      <c r="R918" s="5"/>
      <c r="S918" s="5"/>
      <c r="T918" s="5"/>
      <c r="U918" s="5"/>
      <c r="V918" s="5"/>
      <c r="W918" s="5"/>
    </row>
    <row r="919" spans="1:23" ht="16" x14ac:dyDescent="0.2">
      <c r="A919" s="5"/>
      <c r="B919" s="6"/>
      <c r="C919" s="6"/>
      <c r="D919" s="6"/>
      <c r="E919" s="6"/>
      <c r="F919" s="5"/>
      <c r="G919" s="5"/>
      <c r="H919" s="5"/>
      <c r="I919" s="5"/>
      <c r="J919" s="5"/>
      <c r="K919" s="5"/>
      <c r="L919" s="5"/>
      <c r="M919" s="5"/>
      <c r="N919" s="5"/>
      <c r="O919" s="5"/>
      <c r="P919" s="5"/>
      <c r="Q919" s="5"/>
      <c r="R919" s="5"/>
      <c r="S919" s="5"/>
      <c r="T919" s="5"/>
      <c r="U919" s="5"/>
      <c r="V919" s="5"/>
      <c r="W919" s="5"/>
    </row>
    <row r="920" spans="1:23" ht="16" x14ac:dyDescent="0.2">
      <c r="A920" s="5"/>
      <c r="B920" s="6"/>
      <c r="C920" s="6"/>
      <c r="D920" s="6"/>
      <c r="E920" s="6"/>
      <c r="F920" s="5"/>
      <c r="G920" s="5"/>
      <c r="H920" s="5"/>
      <c r="I920" s="5"/>
      <c r="J920" s="5"/>
      <c r="K920" s="5"/>
      <c r="L920" s="5"/>
      <c r="M920" s="5"/>
      <c r="N920" s="5"/>
      <c r="O920" s="5"/>
      <c r="P920" s="5"/>
      <c r="Q920" s="5"/>
      <c r="R920" s="5"/>
      <c r="S920" s="5"/>
      <c r="T920" s="5"/>
      <c r="U920" s="5"/>
      <c r="V920" s="5"/>
      <c r="W920" s="5"/>
    </row>
    <row r="921" spans="1:23" ht="16" x14ac:dyDescent="0.2">
      <c r="A921" s="5"/>
      <c r="B921" s="6"/>
      <c r="C921" s="6"/>
      <c r="D921" s="6"/>
      <c r="E921" s="6"/>
      <c r="F921" s="5"/>
      <c r="G921" s="5"/>
      <c r="H921" s="5"/>
      <c r="I921" s="5"/>
      <c r="J921" s="5"/>
      <c r="K921" s="5"/>
      <c r="L921" s="5"/>
      <c r="M921" s="5"/>
      <c r="N921" s="5"/>
      <c r="O921" s="5"/>
      <c r="P921" s="5"/>
      <c r="Q921" s="5"/>
      <c r="R921" s="5"/>
      <c r="S921" s="5"/>
      <c r="T921" s="5"/>
      <c r="U921" s="5"/>
      <c r="V921" s="5"/>
      <c r="W921" s="5"/>
    </row>
    <row r="922" spans="1:23" ht="16" x14ac:dyDescent="0.2">
      <c r="A922" s="5"/>
      <c r="B922" s="6"/>
      <c r="C922" s="6"/>
      <c r="D922" s="6"/>
      <c r="E922" s="6"/>
      <c r="F922" s="5"/>
      <c r="G922" s="5"/>
      <c r="H922" s="5"/>
      <c r="I922" s="5"/>
      <c r="J922" s="5"/>
      <c r="K922" s="5"/>
      <c r="L922" s="5"/>
      <c r="M922" s="5"/>
      <c r="N922" s="5"/>
      <c r="O922" s="5"/>
      <c r="P922" s="5"/>
      <c r="Q922" s="5"/>
      <c r="R922" s="5"/>
      <c r="S922" s="5"/>
      <c r="T922" s="5"/>
      <c r="U922" s="5"/>
      <c r="V922" s="5"/>
      <c r="W922" s="5"/>
    </row>
    <row r="923" spans="1:23" ht="16" x14ac:dyDescent="0.2">
      <c r="A923" s="5"/>
      <c r="B923" s="6"/>
      <c r="C923" s="6"/>
      <c r="D923" s="6"/>
      <c r="E923" s="6"/>
      <c r="F923" s="5"/>
      <c r="G923" s="5"/>
      <c r="H923" s="5"/>
      <c r="I923" s="5"/>
      <c r="J923" s="5"/>
      <c r="K923" s="5"/>
      <c r="L923" s="5"/>
      <c r="M923" s="5"/>
      <c r="N923" s="5"/>
      <c r="O923" s="5"/>
      <c r="P923" s="5"/>
      <c r="Q923" s="5"/>
      <c r="R923" s="5"/>
      <c r="S923" s="5"/>
      <c r="T923" s="5"/>
      <c r="U923" s="5"/>
      <c r="V923" s="5"/>
      <c r="W923" s="5"/>
    </row>
    <row r="924" spans="1:23" ht="16" x14ac:dyDescent="0.2">
      <c r="A924" s="5"/>
      <c r="B924" s="6"/>
      <c r="C924" s="6"/>
      <c r="D924" s="6"/>
      <c r="E924" s="6"/>
      <c r="F924" s="5"/>
      <c r="G924" s="5"/>
      <c r="H924" s="5"/>
      <c r="I924" s="5"/>
      <c r="J924" s="5"/>
      <c r="K924" s="5"/>
      <c r="L924" s="5"/>
      <c r="M924" s="5"/>
      <c r="N924" s="5"/>
      <c r="O924" s="5"/>
      <c r="P924" s="5"/>
      <c r="Q924" s="5"/>
      <c r="R924" s="5"/>
      <c r="S924" s="5"/>
      <c r="T924" s="5"/>
      <c r="U924" s="5"/>
      <c r="V924" s="5"/>
      <c r="W924" s="5"/>
    </row>
    <row r="925" spans="1:23" ht="16" x14ac:dyDescent="0.2">
      <c r="A925" s="5"/>
      <c r="B925" s="6"/>
      <c r="C925" s="6"/>
      <c r="D925" s="6"/>
      <c r="E925" s="6"/>
      <c r="F925" s="5"/>
      <c r="G925" s="5"/>
      <c r="H925" s="5"/>
      <c r="I925" s="5"/>
      <c r="J925" s="5"/>
      <c r="K925" s="5"/>
      <c r="L925" s="5"/>
      <c r="M925" s="5"/>
      <c r="N925" s="5"/>
      <c r="O925" s="5"/>
      <c r="P925" s="5"/>
      <c r="Q925" s="5"/>
      <c r="R925" s="5"/>
      <c r="S925" s="5"/>
      <c r="T925" s="5"/>
      <c r="U925" s="5"/>
      <c r="V925" s="5"/>
      <c r="W925" s="5"/>
    </row>
    <row r="926" spans="1:23" ht="16" x14ac:dyDescent="0.2">
      <c r="A926" s="5"/>
      <c r="B926" s="6"/>
      <c r="C926" s="6"/>
      <c r="D926" s="6"/>
      <c r="E926" s="6"/>
      <c r="F926" s="5"/>
      <c r="G926" s="5"/>
      <c r="H926" s="5"/>
      <c r="I926" s="5"/>
      <c r="J926" s="5"/>
      <c r="K926" s="5"/>
      <c r="L926" s="5"/>
      <c r="M926" s="5"/>
      <c r="N926" s="5"/>
      <c r="O926" s="5"/>
      <c r="P926" s="5"/>
      <c r="Q926" s="5"/>
      <c r="R926" s="5"/>
      <c r="S926" s="5"/>
      <c r="T926" s="5"/>
      <c r="U926" s="5"/>
      <c r="V926" s="5"/>
      <c r="W926" s="5"/>
    </row>
    <row r="927" spans="1:23" ht="16" x14ac:dyDescent="0.2">
      <c r="A927" s="5"/>
      <c r="B927" s="6"/>
      <c r="C927" s="6"/>
      <c r="D927" s="6"/>
      <c r="E927" s="6"/>
      <c r="F927" s="5"/>
      <c r="G927" s="5"/>
      <c r="H927" s="5"/>
      <c r="I927" s="5"/>
      <c r="J927" s="5"/>
      <c r="K927" s="5"/>
      <c r="L927" s="5"/>
      <c r="M927" s="5"/>
      <c r="N927" s="5"/>
      <c r="O927" s="5"/>
      <c r="P927" s="5"/>
      <c r="Q927" s="5"/>
      <c r="R927" s="5"/>
      <c r="S927" s="5"/>
      <c r="T927" s="5"/>
      <c r="U927" s="5"/>
      <c r="V927" s="5"/>
      <c r="W927" s="5"/>
    </row>
    <row r="928" spans="1:23" ht="16" x14ac:dyDescent="0.2">
      <c r="A928" s="5"/>
      <c r="B928" s="6"/>
      <c r="C928" s="6"/>
      <c r="D928" s="6"/>
      <c r="E928" s="6"/>
      <c r="F928" s="5"/>
      <c r="G928" s="5"/>
      <c r="H928" s="5"/>
      <c r="I928" s="5"/>
      <c r="J928" s="5"/>
      <c r="K928" s="5"/>
      <c r="L928" s="5"/>
      <c r="M928" s="5"/>
      <c r="N928" s="5"/>
      <c r="O928" s="5"/>
      <c r="P928" s="5"/>
      <c r="Q928" s="5"/>
      <c r="R928" s="5"/>
      <c r="S928" s="5"/>
      <c r="T928" s="5"/>
      <c r="U928" s="5"/>
      <c r="V928" s="5"/>
      <c r="W928" s="5"/>
    </row>
    <row r="929" spans="1:23" ht="16" x14ac:dyDescent="0.2">
      <c r="A929" s="5"/>
      <c r="B929" s="6"/>
      <c r="C929" s="6"/>
      <c r="D929" s="6"/>
      <c r="E929" s="6"/>
      <c r="F929" s="5"/>
      <c r="G929" s="5"/>
      <c r="H929" s="5"/>
      <c r="I929" s="5"/>
      <c r="J929" s="5"/>
      <c r="K929" s="5"/>
      <c r="L929" s="5"/>
      <c r="M929" s="5"/>
      <c r="N929" s="5"/>
      <c r="O929" s="5"/>
      <c r="P929" s="5"/>
      <c r="Q929" s="5"/>
      <c r="R929" s="5"/>
      <c r="S929" s="5"/>
      <c r="T929" s="5"/>
      <c r="U929" s="5"/>
      <c r="V929" s="5"/>
      <c r="W929" s="5"/>
    </row>
    <row r="930" spans="1:23" ht="16" x14ac:dyDescent="0.2">
      <c r="A930" s="5"/>
      <c r="B930" s="6"/>
      <c r="C930" s="6"/>
      <c r="D930" s="6"/>
      <c r="E930" s="6"/>
      <c r="F930" s="5"/>
      <c r="G930" s="5"/>
      <c r="H930" s="5"/>
      <c r="I930" s="5"/>
      <c r="J930" s="5"/>
      <c r="K930" s="5"/>
      <c r="L930" s="5"/>
      <c r="M930" s="5"/>
      <c r="N930" s="5"/>
      <c r="O930" s="5"/>
      <c r="P930" s="5"/>
      <c r="Q930" s="5"/>
      <c r="R930" s="5"/>
      <c r="S930" s="5"/>
      <c r="T930" s="5"/>
      <c r="U930" s="5"/>
      <c r="V930" s="5"/>
      <c r="W930" s="5"/>
    </row>
    <row r="931" spans="1:23" ht="16" x14ac:dyDescent="0.2">
      <c r="A931" s="5"/>
      <c r="B931" s="6"/>
      <c r="C931" s="6"/>
      <c r="D931" s="6"/>
      <c r="E931" s="6"/>
      <c r="F931" s="5"/>
      <c r="G931" s="5"/>
      <c r="H931" s="5"/>
      <c r="I931" s="5"/>
      <c r="J931" s="5"/>
      <c r="K931" s="5"/>
      <c r="L931" s="5"/>
      <c r="M931" s="5"/>
      <c r="N931" s="5"/>
      <c r="O931" s="5"/>
      <c r="P931" s="5"/>
      <c r="Q931" s="5"/>
      <c r="R931" s="5"/>
      <c r="S931" s="5"/>
      <c r="T931" s="5"/>
      <c r="U931" s="5"/>
      <c r="V931" s="5"/>
      <c r="W931" s="5"/>
    </row>
    <row r="932" spans="1:23" ht="16" x14ac:dyDescent="0.2">
      <c r="A932" s="5"/>
      <c r="B932" s="6"/>
      <c r="C932" s="6"/>
      <c r="D932" s="6"/>
      <c r="E932" s="6"/>
      <c r="F932" s="5"/>
      <c r="G932" s="5"/>
      <c r="H932" s="5"/>
      <c r="I932" s="5"/>
      <c r="J932" s="5"/>
      <c r="K932" s="5"/>
      <c r="L932" s="5"/>
      <c r="M932" s="5"/>
      <c r="N932" s="5"/>
      <c r="O932" s="5"/>
      <c r="P932" s="5"/>
      <c r="Q932" s="5"/>
      <c r="R932" s="5"/>
      <c r="S932" s="5"/>
      <c r="T932" s="5"/>
      <c r="U932" s="5"/>
      <c r="V932" s="5"/>
      <c r="W932" s="5"/>
    </row>
    <row r="933" spans="1:23" ht="16" x14ac:dyDescent="0.2">
      <c r="A933" s="5"/>
      <c r="B933" s="6"/>
      <c r="C933" s="6"/>
      <c r="D933" s="6"/>
      <c r="E933" s="6"/>
      <c r="F933" s="5"/>
      <c r="G933" s="5"/>
      <c r="H933" s="5"/>
      <c r="I933" s="5"/>
      <c r="J933" s="5"/>
      <c r="K933" s="5"/>
      <c r="L933" s="5"/>
      <c r="M933" s="5"/>
      <c r="N933" s="5"/>
      <c r="O933" s="5"/>
      <c r="P933" s="5"/>
      <c r="Q933" s="5"/>
      <c r="R933" s="5"/>
      <c r="S933" s="5"/>
      <c r="T933" s="5"/>
      <c r="U933" s="5"/>
      <c r="V933" s="5"/>
      <c r="W933" s="5"/>
    </row>
    <row r="934" spans="1:23" ht="16" x14ac:dyDescent="0.2">
      <c r="A934" s="5"/>
      <c r="B934" s="6"/>
      <c r="C934" s="6"/>
      <c r="D934" s="6"/>
      <c r="E934" s="6"/>
      <c r="F934" s="5"/>
      <c r="G934" s="5"/>
      <c r="H934" s="5"/>
      <c r="I934" s="5"/>
      <c r="J934" s="5"/>
      <c r="K934" s="5"/>
      <c r="L934" s="5"/>
      <c r="M934" s="5"/>
      <c r="N934" s="5"/>
      <c r="O934" s="5"/>
      <c r="P934" s="5"/>
      <c r="Q934" s="5"/>
      <c r="R934" s="5"/>
      <c r="S934" s="5"/>
      <c r="T934" s="5"/>
      <c r="U934" s="5"/>
      <c r="V934" s="5"/>
      <c r="W934" s="5"/>
    </row>
    <row r="935" spans="1:23" ht="16" x14ac:dyDescent="0.2">
      <c r="A935" s="5"/>
      <c r="B935" s="6"/>
      <c r="C935" s="6"/>
      <c r="D935" s="6"/>
      <c r="E935" s="6"/>
      <c r="F935" s="5"/>
      <c r="G935" s="5"/>
      <c r="H935" s="5"/>
      <c r="I935" s="5"/>
      <c r="J935" s="5"/>
      <c r="K935" s="5"/>
      <c r="L935" s="5"/>
      <c r="M935" s="5"/>
      <c r="N935" s="5"/>
      <c r="O935" s="5"/>
      <c r="P935" s="5"/>
      <c r="Q935" s="5"/>
      <c r="R935" s="5"/>
      <c r="S935" s="5"/>
      <c r="T935" s="5"/>
      <c r="U935" s="5"/>
      <c r="V935" s="5"/>
      <c r="W935" s="5"/>
    </row>
    <row r="936" spans="1:23" ht="16" x14ac:dyDescent="0.2">
      <c r="A936" s="5"/>
      <c r="B936" s="6"/>
      <c r="C936" s="6"/>
      <c r="D936" s="6"/>
      <c r="E936" s="6"/>
      <c r="F936" s="5"/>
      <c r="G936" s="5"/>
      <c r="H936" s="5"/>
      <c r="I936" s="5"/>
      <c r="J936" s="5"/>
      <c r="K936" s="5"/>
      <c r="L936" s="5"/>
      <c r="M936" s="5"/>
      <c r="N936" s="5"/>
      <c r="O936" s="5"/>
      <c r="P936" s="5"/>
      <c r="Q936" s="5"/>
      <c r="R936" s="5"/>
      <c r="S936" s="5"/>
      <c r="T936" s="5"/>
      <c r="U936" s="5"/>
      <c r="V936" s="5"/>
      <c r="W936" s="5"/>
    </row>
    <row r="937" spans="1:23" ht="16" x14ac:dyDescent="0.2">
      <c r="A937" s="5"/>
      <c r="B937" s="6"/>
      <c r="C937" s="6"/>
      <c r="D937" s="6"/>
      <c r="E937" s="6"/>
      <c r="F937" s="5"/>
      <c r="G937" s="5"/>
      <c r="H937" s="5"/>
      <c r="I937" s="5"/>
      <c r="J937" s="5"/>
      <c r="K937" s="5"/>
      <c r="L937" s="5"/>
      <c r="M937" s="5"/>
      <c r="N937" s="5"/>
      <c r="O937" s="5"/>
      <c r="P937" s="5"/>
      <c r="Q937" s="5"/>
      <c r="R937" s="5"/>
      <c r="S937" s="5"/>
      <c r="T937" s="5"/>
      <c r="U937" s="5"/>
      <c r="V937" s="5"/>
      <c r="W937" s="5"/>
    </row>
    <row r="938" spans="1:23" ht="16" x14ac:dyDescent="0.2">
      <c r="A938" s="5"/>
      <c r="B938" s="6"/>
      <c r="C938" s="6"/>
      <c r="D938" s="6"/>
      <c r="E938" s="6"/>
      <c r="F938" s="5"/>
      <c r="G938" s="5"/>
      <c r="H938" s="5"/>
      <c r="I938" s="5"/>
      <c r="J938" s="5"/>
      <c r="K938" s="5"/>
      <c r="L938" s="5"/>
      <c r="M938" s="5"/>
      <c r="N938" s="5"/>
      <c r="O938" s="5"/>
      <c r="P938" s="5"/>
      <c r="Q938" s="5"/>
      <c r="R938" s="5"/>
      <c r="S938" s="5"/>
      <c r="T938" s="5"/>
      <c r="U938" s="5"/>
      <c r="V938" s="5"/>
      <c r="W938" s="5"/>
    </row>
    <row r="939" spans="1:23" ht="16" x14ac:dyDescent="0.2">
      <c r="A939" s="5"/>
      <c r="B939" s="6"/>
      <c r="C939" s="6"/>
      <c r="D939" s="6"/>
      <c r="E939" s="6"/>
      <c r="F939" s="5"/>
      <c r="G939" s="5"/>
      <c r="H939" s="5"/>
      <c r="I939" s="5"/>
      <c r="J939" s="5"/>
      <c r="K939" s="5"/>
      <c r="L939" s="5"/>
      <c r="M939" s="5"/>
      <c r="N939" s="5"/>
      <c r="O939" s="5"/>
      <c r="P939" s="5"/>
      <c r="Q939" s="5"/>
      <c r="R939" s="5"/>
      <c r="S939" s="5"/>
      <c r="T939" s="5"/>
      <c r="U939" s="5"/>
      <c r="V939" s="5"/>
      <c r="W939" s="5"/>
    </row>
    <row r="940" spans="1:23" ht="16" x14ac:dyDescent="0.2">
      <c r="A940" s="5"/>
      <c r="B940" s="6"/>
      <c r="C940" s="6"/>
      <c r="D940" s="6"/>
      <c r="E940" s="6"/>
      <c r="F940" s="5"/>
      <c r="G940" s="5"/>
      <c r="H940" s="5"/>
      <c r="I940" s="5"/>
      <c r="J940" s="5"/>
      <c r="K940" s="5"/>
      <c r="L940" s="5"/>
      <c r="M940" s="5"/>
      <c r="N940" s="5"/>
      <c r="O940" s="5"/>
      <c r="P940" s="5"/>
      <c r="Q940" s="5"/>
      <c r="R940" s="5"/>
      <c r="S940" s="5"/>
      <c r="T940" s="5"/>
      <c r="U940" s="5"/>
      <c r="V940" s="5"/>
      <c r="W940" s="5"/>
    </row>
    <row r="941" spans="1:23" ht="16" x14ac:dyDescent="0.2">
      <c r="A941" s="5"/>
      <c r="B941" s="6"/>
      <c r="C941" s="6"/>
      <c r="D941" s="6"/>
      <c r="E941" s="6"/>
      <c r="F941" s="5"/>
      <c r="G941" s="5"/>
      <c r="H941" s="5"/>
      <c r="I941" s="5"/>
      <c r="J941" s="5"/>
      <c r="K941" s="5"/>
      <c r="L941" s="5"/>
      <c r="M941" s="5"/>
      <c r="N941" s="5"/>
      <c r="O941" s="5"/>
      <c r="P941" s="5"/>
      <c r="Q941" s="5"/>
      <c r="R941" s="5"/>
      <c r="S941" s="5"/>
      <c r="T941" s="5"/>
      <c r="U941" s="5"/>
      <c r="V941" s="5"/>
      <c r="W941" s="5"/>
    </row>
    <row r="942" spans="1:23" ht="16" x14ac:dyDescent="0.2">
      <c r="A942" s="5"/>
      <c r="B942" s="6"/>
      <c r="C942" s="6"/>
      <c r="D942" s="6"/>
      <c r="E942" s="6"/>
      <c r="F942" s="5"/>
      <c r="G942" s="5"/>
      <c r="H942" s="5"/>
      <c r="I942" s="5"/>
      <c r="J942" s="5"/>
      <c r="K942" s="5"/>
      <c r="L942" s="5"/>
      <c r="M942" s="5"/>
      <c r="N942" s="5"/>
      <c r="O942" s="5"/>
      <c r="P942" s="5"/>
      <c r="Q942" s="5"/>
      <c r="R942" s="5"/>
      <c r="S942" s="5"/>
      <c r="T942" s="5"/>
      <c r="U942" s="5"/>
      <c r="V942" s="5"/>
      <c r="W942" s="5"/>
    </row>
    <row r="943" spans="1:23" ht="16" x14ac:dyDescent="0.2">
      <c r="A943" s="5"/>
      <c r="B943" s="6"/>
      <c r="C943" s="6"/>
      <c r="D943" s="6"/>
      <c r="E943" s="6"/>
      <c r="F943" s="5"/>
      <c r="G943" s="5"/>
      <c r="H943" s="5"/>
      <c r="I943" s="5"/>
      <c r="J943" s="5"/>
      <c r="K943" s="5"/>
      <c r="L943" s="5"/>
      <c r="M943" s="5"/>
      <c r="N943" s="5"/>
      <c r="O943" s="5"/>
      <c r="P943" s="5"/>
      <c r="Q943" s="5"/>
      <c r="R943" s="5"/>
      <c r="S943" s="5"/>
      <c r="T943" s="5"/>
      <c r="U943" s="5"/>
      <c r="V943" s="5"/>
      <c r="W943" s="5"/>
    </row>
    <row r="944" spans="1:23" ht="16" x14ac:dyDescent="0.2">
      <c r="A944" s="5"/>
      <c r="B944" s="6"/>
      <c r="C944" s="6"/>
      <c r="D944" s="6"/>
      <c r="E944" s="6"/>
      <c r="F944" s="5"/>
      <c r="G944" s="5"/>
      <c r="H944" s="5"/>
      <c r="I944" s="5"/>
      <c r="J944" s="5"/>
      <c r="K944" s="5"/>
      <c r="L944" s="5"/>
      <c r="M944" s="5"/>
      <c r="N944" s="5"/>
      <c r="O944" s="5"/>
      <c r="P944" s="5"/>
      <c r="Q944" s="5"/>
      <c r="R944" s="5"/>
      <c r="S944" s="5"/>
      <c r="T944" s="5"/>
      <c r="U944" s="5"/>
      <c r="V944" s="5"/>
      <c r="W944" s="5"/>
    </row>
    <row r="945" spans="1:23" ht="16" x14ac:dyDescent="0.2">
      <c r="A945" s="5"/>
      <c r="B945" s="6"/>
      <c r="C945" s="6"/>
      <c r="D945" s="6"/>
      <c r="E945" s="6"/>
      <c r="F945" s="5"/>
      <c r="G945" s="5"/>
      <c r="H945" s="5"/>
      <c r="I945" s="5"/>
      <c r="J945" s="5"/>
      <c r="K945" s="5"/>
      <c r="L945" s="5"/>
      <c r="M945" s="5"/>
      <c r="N945" s="5"/>
      <c r="O945" s="5"/>
      <c r="P945" s="5"/>
      <c r="Q945" s="5"/>
      <c r="R945" s="5"/>
      <c r="S945" s="5"/>
      <c r="T945" s="5"/>
      <c r="U945" s="5"/>
      <c r="V945" s="5"/>
      <c r="W945" s="5"/>
    </row>
    <row r="946" spans="1:23" ht="16" x14ac:dyDescent="0.2">
      <c r="A946" s="5"/>
      <c r="B946" s="6"/>
      <c r="C946" s="6"/>
      <c r="D946" s="6"/>
      <c r="E946" s="6"/>
      <c r="F946" s="5"/>
      <c r="G946" s="5"/>
      <c r="H946" s="5"/>
      <c r="I946" s="5"/>
      <c r="J946" s="5"/>
      <c r="K946" s="5"/>
      <c r="L946" s="5"/>
      <c r="M946" s="5"/>
      <c r="N946" s="5"/>
      <c r="O946" s="5"/>
      <c r="P946" s="5"/>
      <c r="Q946" s="5"/>
      <c r="R946" s="5"/>
      <c r="S946" s="5"/>
      <c r="T946" s="5"/>
      <c r="U946" s="5"/>
      <c r="V946" s="5"/>
      <c r="W946" s="5"/>
    </row>
    <row r="947" spans="1:23" ht="16" x14ac:dyDescent="0.2">
      <c r="A947" s="5"/>
      <c r="B947" s="6"/>
      <c r="C947" s="6"/>
      <c r="D947" s="6"/>
      <c r="E947" s="6"/>
      <c r="F947" s="5"/>
      <c r="G947" s="5"/>
      <c r="H947" s="5"/>
      <c r="I947" s="5"/>
      <c r="J947" s="5"/>
      <c r="K947" s="5"/>
      <c r="L947" s="5"/>
      <c r="M947" s="5"/>
      <c r="N947" s="5"/>
      <c r="O947" s="5"/>
      <c r="P947" s="5"/>
      <c r="Q947" s="5"/>
      <c r="R947" s="5"/>
      <c r="S947" s="5"/>
      <c r="T947" s="5"/>
      <c r="U947" s="5"/>
      <c r="V947" s="5"/>
      <c r="W947" s="5"/>
    </row>
    <row r="948" spans="1:23" ht="16" x14ac:dyDescent="0.2">
      <c r="A948" s="5"/>
      <c r="B948" s="6"/>
      <c r="C948" s="6"/>
      <c r="D948" s="6"/>
      <c r="E948" s="6"/>
      <c r="F948" s="5"/>
      <c r="G948" s="5"/>
      <c r="H948" s="5"/>
      <c r="I948" s="5"/>
      <c r="J948" s="5"/>
      <c r="K948" s="5"/>
      <c r="L948" s="5"/>
      <c r="M948" s="5"/>
      <c r="N948" s="5"/>
      <c r="O948" s="5"/>
      <c r="P948" s="5"/>
      <c r="Q948" s="5"/>
      <c r="R948" s="5"/>
      <c r="S948" s="5"/>
      <c r="T948" s="5"/>
      <c r="U948" s="5"/>
      <c r="V948" s="5"/>
      <c r="W948" s="5"/>
    </row>
    <row r="949" spans="1:23" ht="16" x14ac:dyDescent="0.2">
      <c r="A949" s="5"/>
      <c r="B949" s="6"/>
      <c r="C949" s="6"/>
      <c r="D949" s="6"/>
      <c r="E949" s="6"/>
      <c r="F949" s="5"/>
      <c r="G949" s="5"/>
      <c r="H949" s="5"/>
      <c r="I949" s="5"/>
      <c r="J949" s="5"/>
      <c r="K949" s="5"/>
      <c r="L949" s="5"/>
      <c r="M949" s="5"/>
      <c r="N949" s="5"/>
      <c r="O949" s="5"/>
      <c r="P949" s="5"/>
      <c r="Q949" s="5"/>
      <c r="R949" s="5"/>
      <c r="S949" s="5"/>
      <c r="T949" s="5"/>
      <c r="U949" s="5"/>
      <c r="V949" s="5"/>
      <c r="W949" s="5"/>
    </row>
    <row r="950" spans="1:23" ht="16" x14ac:dyDescent="0.2">
      <c r="A950" s="5"/>
      <c r="B950" s="6"/>
      <c r="C950" s="6"/>
      <c r="D950" s="6"/>
      <c r="E950" s="6"/>
      <c r="F950" s="5"/>
      <c r="G950" s="5"/>
      <c r="H950" s="5"/>
      <c r="I950" s="5"/>
      <c r="J950" s="5"/>
      <c r="K950" s="5"/>
      <c r="L950" s="5"/>
      <c r="M950" s="5"/>
      <c r="N950" s="5"/>
      <c r="O950" s="5"/>
      <c r="P950" s="5"/>
      <c r="Q950" s="5"/>
      <c r="R950" s="5"/>
      <c r="S950" s="5"/>
      <c r="T950" s="5"/>
      <c r="U950" s="5"/>
      <c r="V950" s="5"/>
      <c r="W950" s="5"/>
    </row>
    <row r="951" spans="1:23" ht="16" x14ac:dyDescent="0.2">
      <c r="A951" s="5"/>
      <c r="B951" s="6"/>
      <c r="C951" s="6"/>
      <c r="D951" s="6"/>
      <c r="E951" s="6"/>
      <c r="F951" s="5"/>
      <c r="G951" s="5"/>
      <c r="H951" s="5"/>
      <c r="I951" s="5"/>
      <c r="J951" s="5"/>
      <c r="K951" s="5"/>
      <c r="L951" s="5"/>
      <c r="M951" s="5"/>
      <c r="N951" s="5"/>
      <c r="O951" s="5"/>
      <c r="P951" s="5"/>
      <c r="Q951" s="5"/>
      <c r="R951" s="5"/>
      <c r="S951" s="5"/>
      <c r="T951" s="5"/>
      <c r="U951" s="5"/>
      <c r="V951" s="5"/>
      <c r="W951" s="5"/>
    </row>
    <row r="952" spans="1:23" ht="16" x14ac:dyDescent="0.2">
      <c r="A952" s="5"/>
      <c r="B952" s="6"/>
      <c r="C952" s="6"/>
      <c r="D952" s="6"/>
      <c r="E952" s="6"/>
      <c r="F952" s="5"/>
      <c r="G952" s="5"/>
      <c r="H952" s="5"/>
      <c r="I952" s="5"/>
      <c r="J952" s="5"/>
      <c r="K952" s="5"/>
      <c r="L952" s="5"/>
      <c r="M952" s="5"/>
      <c r="N952" s="5"/>
      <c r="O952" s="5"/>
      <c r="P952" s="5"/>
      <c r="Q952" s="5"/>
      <c r="R952" s="5"/>
      <c r="S952" s="5"/>
      <c r="T952" s="5"/>
      <c r="U952" s="5"/>
      <c r="V952" s="5"/>
      <c r="W952" s="5"/>
    </row>
    <row r="953" spans="1:23" ht="16" x14ac:dyDescent="0.2">
      <c r="A953" s="5"/>
      <c r="B953" s="6"/>
      <c r="C953" s="6"/>
      <c r="D953" s="6"/>
      <c r="E953" s="6"/>
      <c r="F953" s="5"/>
      <c r="G953" s="5"/>
      <c r="H953" s="5"/>
      <c r="I953" s="5"/>
      <c r="J953" s="5"/>
      <c r="K953" s="5"/>
      <c r="L953" s="5"/>
      <c r="M953" s="5"/>
      <c r="N953" s="5"/>
      <c r="O953" s="5"/>
      <c r="P953" s="5"/>
      <c r="Q953" s="5"/>
      <c r="R953" s="5"/>
      <c r="S953" s="5"/>
      <c r="T953" s="5"/>
      <c r="U953" s="5"/>
      <c r="V953" s="5"/>
      <c r="W953" s="5"/>
    </row>
    <row r="954" spans="1:23" ht="16" x14ac:dyDescent="0.2">
      <c r="A954" s="5"/>
      <c r="B954" s="6"/>
      <c r="C954" s="6"/>
      <c r="D954" s="6"/>
      <c r="E954" s="6"/>
      <c r="F954" s="5"/>
      <c r="G954" s="5"/>
      <c r="H954" s="5"/>
      <c r="I954" s="5"/>
      <c r="J954" s="5"/>
      <c r="K954" s="5"/>
      <c r="L954" s="5"/>
      <c r="M954" s="5"/>
      <c r="N954" s="5"/>
      <c r="O954" s="5"/>
      <c r="P954" s="5"/>
      <c r="Q954" s="5"/>
      <c r="R954" s="5"/>
      <c r="S954" s="5"/>
      <c r="T954" s="5"/>
      <c r="U954" s="5"/>
      <c r="V954" s="5"/>
      <c r="W954" s="5"/>
    </row>
    <row r="955" spans="1:23" ht="16" x14ac:dyDescent="0.2">
      <c r="A955" s="5"/>
      <c r="B955" s="6"/>
      <c r="C955" s="6"/>
      <c r="D955" s="6"/>
      <c r="E955" s="6"/>
      <c r="F955" s="5"/>
      <c r="G955" s="5"/>
      <c r="H955" s="5"/>
      <c r="I955" s="5"/>
      <c r="J955" s="5"/>
      <c r="K955" s="5"/>
      <c r="L955" s="5"/>
      <c r="M955" s="5"/>
      <c r="N955" s="5"/>
      <c r="O955" s="5"/>
      <c r="P955" s="5"/>
      <c r="Q955" s="5"/>
      <c r="R955" s="5"/>
      <c r="S955" s="5"/>
      <c r="T955" s="5"/>
      <c r="U955" s="5"/>
      <c r="V955" s="5"/>
      <c r="W955" s="5"/>
    </row>
    <row r="956" spans="1:23" ht="16" x14ac:dyDescent="0.2">
      <c r="A956" s="5"/>
      <c r="B956" s="6"/>
      <c r="C956" s="6"/>
      <c r="D956" s="6"/>
      <c r="E956" s="6"/>
      <c r="F956" s="5"/>
      <c r="G956" s="5"/>
      <c r="H956" s="5"/>
      <c r="I956" s="5"/>
      <c r="J956" s="5"/>
      <c r="K956" s="5"/>
      <c r="L956" s="5"/>
      <c r="M956" s="5"/>
      <c r="N956" s="5"/>
      <c r="O956" s="5"/>
      <c r="P956" s="5"/>
      <c r="Q956" s="5"/>
      <c r="R956" s="5"/>
      <c r="S956" s="5"/>
      <c r="T956" s="5"/>
      <c r="U956" s="5"/>
      <c r="V956" s="5"/>
      <c r="W956" s="5"/>
    </row>
    <row r="957" spans="1:23" ht="16" x14ac:dyDescent="0.2">
      <c r="A957" s="5"/>
      <c r="B957" s="6"/>
      <c r="C957" s="6"/>
      <c r="D957" s="6"/>
      <c r="E957" s="6"/>
      <c r="F957" s="5"/>
      <c r="G957" s="5"/>
      <c r="H957" s="5"/>
      <c r="I957" s="5"/>
      <c r="J957" s="5"/>
      <c r="K957" s="5"/>
      <c r="L957" s="5"/>
      <c r="M957" s="5"/>
      <c r="N957" s="5"/>
      <c r="O957" s="5"/>
      <c r="P957" s="5"/>
      <c r="Q957" s="5"/>
      <c r="R957" s="5"/>
      <c r="S957" s="5"/>
      <c r="T957" s="5"/>
      <c r="U957" s="5"/>
      <c r="V957" s="5"/>
      <c r="W957" s="5"/>
    </row>
    <row r="958" spans="1:23" ht="16" x14ac:dyDescent="0.2">
      <c r="A958" s="5"/>
      <c r="B958" s="6"/>
      <c r="C958" s="6"/>
      <c r="D958" s="6"/>
      <c r="E958" s="6"/>
      <c r="F958" s="5"/>
      <c r="G958" s="5"/>
      <c r="H958" s="5"/>
      <c r="I958" s="5"/>
      <c r="J958" s="5"/>
      <c r="K958" s="5"/>
      <c r="L958" s="5"/>
      <c r="M958" s="5"/>
      <c r="N958" s="5"/>
      <c r="O958" s="5"/>
      <c r="P958" s="5"/>
      <c r="Q958" s="5"/>
      <c r="R958" s="5"/>
      <c r="S958" s="5"/>
      <c r="T958" s="5"/>
      <c r="U958" s="5"/>
      <c r="V958" s="5"/>
      <c r="W958" s="5"/>
    </row>
    <row r="959" spans="1:23" ht="16" x14ac:dyDescent="0.2">
      <c r="A959" s="5"/>
      <c r="B959" s="6"/>
      <c r="C959" s="6"/>
      <c r="D959" s="6"/>
      <c r="E959" s="6"/>
      <c r="F959" s="5"/>
      <c r="G959" s="5"/>
      <c r="H959" s="5"/>
      <c r="I959" s="5"/>
      <c r="J959" s="5"/>
      <c r="K959" s="5"/>
      <c r="L959" s="5"/>
      <c r="M959" s="5"/>
      <c r="N959" s="5"/>
      <c r="O959" s="5"/>
      <c r="P959" s="5"/>
      <c r="Q959" s="5"/>
      <c r="R959" s="5"/>
      <c r="S959" s="5"/>
      <c r="T959" s="5"/>
      <c r="U959" s="5"/>
      <c r="V959" s="5"/>
      <c r="W959" s="5"/>
    </row>
    <row r="960" spans="1:23" ht="16" x14ac:dyDescent="0.2">
      <c r="A960" s="5"/>
      <c r="B960" s="6"/>
      <c r="C960" s="6"/>
      <c r="D960" s="6"/>
      <c r="E960" s="6"/>
      <c r="F960" s="5"/>
      <c r="G960" s="5"/>
      <c r="H960" s="5"/>
      <c r="I960" s="5"/>
      <c r="J960" s="5"/>
      <c r="K960" s="5"/>
      <c r="L960" s="5"/>
      <c r="M960" s="5"/>
      <c r="N960" s="5"/>
      <c r="O960" s="5"/>
      <c r="P960" s="5"/>
      <c r="Q960" s="5"/>
      <c r="R960" s="5"/>
      <c r="S960" s="5"/>
      <c r="T960" s="5"/>
      <c r="U960" s="5"/>
      <c r="V960" s="5"/>
      <c r="W960" s="5"/>
    </row>
    <row r="961" spans="1:23" ht="16" x14ac:dyDescent="0.2">
      <c r="A961" s="5"/>
      <c r="B961" s="6"/>
      <c r="C961" s="6"/>
      <c r="D961" s="6"/>
      <c r="E961" s="6"/>
      <c r="F961" s="5"/>
      <c r="G961" s="5"/>
      <c r="H961" s="5"/>
      <c r="I961" s="5"/>
      <c r="J961" s="5"/>
      <c r="K961" s="5"/>
      <c r="L961" s="5"/>
      <c r="M961" s="5"/>
      <c r="N961" s="5"/>
      <c r="O961" s="5"/>
      <c r="P961" s="5"/>
      <c r="Q961" s="5"/>
      <c r="R961" s="5"/>
      <c r="S961" s="5"/>
      <c r="T961" s="5"/>
      <c r="U961" s="5"/>
      <c r="V961" s="5"/>
      <c r="W961" s="5"/>
    </row>
    <row r="962" spans="1:23" ht="16" x14ac:dyDescent="0.2">
      <c r="A962" s="5"/>
      <c r="B962" s="6"/>
      <c r="C962" s="6"/>
      <c r="D962" s="6"/>
      <c r="E962" s="6"/>
      <c r="F962" s="5"/>
      <c r="G962" s="5"/>
      <c r="H962" s="5"/>
      <c r="I962" s="5"/>
      <c r="J962" s="5"/>
      <c r="K962" s="5"/>
      <c r="L962" s="5"/>
      <c r="M962" s="5"/>
      <c r="N962" s="5"/>
      <c r="O962" s="5"/>
      <c r="P962" s="5"/>
      <c r="Q962" s="5"/>
      <c r="R962" s="5"/>
      <c r="S962" s="5"/>
      <c r="T962" s="5"/>
      <c r="U962" s="5"/>
      <c r="V962" s="5"/>
      <c r="W962" s="5"/>
    </row>
    <row r="963" spans="1:23" ht="16" x14ac:dyDescent="0.2">
      <c r="A963" s="5"/>
      <c r="B963" s="6"/>
      <c r="C963" s="6"/>
      <c r="D963" s="6"/>
      <c r="E963" s="6"/>
      <c r="F963" s="5"/>
      <c r="G963" s="5"/>
      <c r="H963" s="5"/>
      <c r="I963" s="5"/>
      <c r="J963" s="5"/>
      <c r="K963" s="5"/>
      <c r="L963" s="5"/>
      <c r="M963" s="5"/>
      <c r="N963" s="5"/>
      <c r="O963" s="5"/>
      <c r="P963" s="5"/>
      <c r="Q963" s="5"/>
      <c r="R963" s="5"/>
      <c r="S963" s="5"/>
      <c r="T963" s="5"/>
      <c r="U963" s="5"/>
      <c r="V963" s="5"/>
      <c r="W963" s="5"/>
    </row>
    <row r="964" spans="1:23" ht="16" x14ac:dyDescent="0.2">
      <c r="A964" s="5"/>
      <c r="B964" s="6"/>
      <c r="C964" s="6"/>
      <c r="D964" s="6"/>
      <c r="E964" s="6"/>
      <c r="F964" s="5"/>
      <c r="G964" s="5"/>
      <c r="H964" s="5"/>
      <c r="I964" s="5"/>
      <c r="J964" s="5"/>
      <c r="K964" s="5"/>
      <c r="L964" s="5"/>
      <c r="M964" s="5"/>
      <c r="N964" s="5"/>
      <c r="O964" s="5"/>
      <c r="P964" s="5"/>
      <c r="Q964" s="5"/>
      <c r="R964" s="5"/>
      <c r="S964" s="5"/>
      <c r="T964" s="5"/>
      <c r="U964" s="5"/>
      <c r="V964" s="5"/>
      <c r="W964" s="5"/>
    </row>
    <row r="965" spans="1:23" ht="16" x14ac:dyDescent="0.2">
      <c r="A965" s="5"/>
      <c r="B965" s="6"/>
      <c r="C965" s="6"/>
      <c r="D965" s="6"/>
      <c r="E965" s="6"/>
      <c r="F965" s="5"/>
      <c r="G965" s="5"/>
      <c r="H965" s="5"/>
      <c r="I965" s="5"/>
      <c r="J965" s="5"/>
      <c r="K965" s="5"/>
      <c r="L965" s="5"/>
      <c r="M965" s="5"/>
      <c r="N965" s="5"/>
      <c r="O965" s="5"/>
      <c r="P965" s="5"/>
      <c r="Q965" s="5"/>
      <c r="R965" s="5"/>
      <c r="S965" s="5"/>
      <c r="T965" s="5"/>
      <c r="U965" s="5"/>
      <c r="V965" s="5"/>
      <c r="W965" s="5"/>
    </row>
    <row r="966" spans="1:23" ht="16" x14ac:dyDescent="0.2">
      <c r="A966" s="5"/>
      <c r="B966" s="6"/>
      <c r="C966" s="6"/>
      <c r="D966" s="6"/>
      <c r="E966" s="6"/>
      <c r="F966" s="5"/>
      <c r="G966" s="5"/>
      <c r="H966" s="5"/>
      <c r="I966" s="5"/>
      <c r="J966" s="5"/>
      <c r="K966" s="5"/>
      <c r="L966" s="5"/>
      <c r="M966" s="5"/>
      <c r="N966" s="5"/>
      <c r="O966" s="5"/>
      <c r="P966" s="5"/>
      <c r="Q966" s="5"/>
      <c r="R966" s="5"/>
      <c r="S966" s="5"/>
      <c r="T966" s="5"/>
      <c r="U966" s="5"/>
      <c r="V966" s="5"/>
      <c r="W966" s="5"/>
    </row>
    <row r="967" spans="1:23" ht="16" x14ac:dyDescent="0.2">
      <c r="A967" s="5"/>
      <c r="B967" s="6"/>
      <c r="C967" s="6"/>
      <c r="D967" s="6"/>
      <c r="E967" s="6"/>
      <c r="F967" s="5"/>
      <c r="G967" s="5"/>
      <c r="H967" s="5"/>
      <c r="I967" s="5"/>
      <c r="J967" s="5"/>
      <c r="K967" s="5"/>
      <c r="L967" s="5"/>
      <c r="M967" s="5"/>
      <c r="N967" s="5"/>
      <c r="O967" s="5"/>
      <c r="P967" s="5"/>
      <c r="Q967" s="5"/>
      <c r="R967" s="5"/>
      <c r="S967" s="5"/>
      <c r="T967" s="5"/>
      <c r="U967" s="5"/>
      <c r="V967" s="5"/>
      <c r="W967" s="5"/>
    </row>
    <row r="968" spans="1:23" ht="16" x14ac:dyDescent="0.2">
      <c r="A968" s="5"/>
      <c r="B968" s="6"/>
      <c r="C968" s="6"/>
      <c r="D968" s="6"/>
      <c r="E968" s="6"/>
      <c r="F968" s="5"/>
      <c r="G968" s="5"/>
      <c r="H968" s="5"/>
      <c r="I968" s="5"/>
      <c r="J968" s="5"/>
      <c r="K968" s="5"/>
      <c r="L968" s="5"/>
      <c r="M968" s="5"/>
      <c r="N968" s="5"/>
      <c r="O968" s="5"/>
      <c r="P968" s="5"/>
      <c r="Q968" s="5"/>
      <c r="R968" s="5"/>
      <c r="S968" s="5"/>
      <c r="T968" s="5"/>
      <c r="U968" s="5"/>
      <c r="V968" s="5"/>
      <c r="W968" s="5"/>
    </row>
    <row r="969" spans="1:23" ht="16" x14ac:dyDescent="0.2">
      <c r="A969" s="5"/>
      <c r="B969" s="6"/>
      <c r="C969" s="6"/>
      <c r="D969" s="6"/>
      <c r="E969" s="6"/>
      <c r="F969" s="5"/>
      <c r="G969" s="5"/>
      <c r="H969" s="5"/>
      <c r="I969" s="5"/>
      <c r="J969" s="5"/>
      <c r="K969" s="5"/>
      <c r="L969" s="5"/>
      <c r="M969" s="5"/>
      <c r="N969" s="5"/>
      <c r="O969" s="5"/>
      <c r="P969" s="5"/>
      <c r="Q969" s="5"/>
      <c r="R969" s="5"/>
      <c r="S969" s="5"/>
      <c r="T969" s="5"/>
      <c r="U969" s="5"/>
      <c r="V969" s="5"/>
      <c r="W969" s="5"/>
    </row>
    <row r="970" spans="1:23" ht="16" x14ac:dyDescent="0.2">
      <c r="A970" s="5"/>
      <c r="B970" s="6"/>
      <c r="C970" s="6"/>
      <c r="D970" s="6"/>
      <c r="E970" s="6"/>
      <c r="F970" s="5"/>
      <c r="G970" s="5"/>
      <c r="H970" s="5"/>
      <c r="I970" s="5"/>
      <c r="J970" s="5"/>
      <c r="K970" s="5"/>
      <c r="L970" s="5"/>
      <c r="M970" s="5"/>
      <c r="N970" s="5"/>
      <c r="O970" s="5"/>
      <c r="P970" s="5"/>
      <c r="Q970" s="5"/>
      <c r="R970" s="5"/>
      <c r="S970" s="5"/>
      <c r="T970" s="5"/>
      <c r="U970" s="5"/>
      <c r="V970" s="5"/>
      <c r="W970" s="5"/>
    </row>
    <row r="971" spans="1:23" ht="16" x14ac:dyDescent="0.2">
      <c r="A971" s="5"/>
      <c r="B971" s="6"/>
      <c r="C971" s="6"/>
      <c r="D971" s="6"/>
      <c r="E971" s="6"/>
      <c r="F971" s="5"/>
      <c r="G971" s="5"/>
      <c r="H971" s="5"/>
      <c r="I971" s="5"/>
      <c r="J971" s="5"/>
      <c r="K971" s="5"/>
      <c r="L971" s="5"/>
      <c r="M971" s="5"/>
      <c r="N971" s="5"/>
      <c r="O971" s="5"/>
      <c r="P971" s="5"/>
      <c r="Q971" s="5"/>
      <c r="R971" s="5"/>
      <c r="S971" s="5"/>
      <c r="T971" s="5"/>
      <c r="U971" s="5"/>
      <c r="V971" s="5"/>
      <c r="W971" s="5"/>
    </row>
    <row r="972" spans="1:23" ht="16" x14ac:dyDescent="0.2">
      <c r="A972" s="5"/>
      <c r="B972" s="6"/>
      <c r="C972" s="6"/>
      <c r="D972" s="6"/>
      <c r="E972" s="6"/>
      <c r="F972" s="5"/>
      <c r="G972" s="5"/>
      <c r="H972" s="5"/>
      <c r="I972" s="5"/>
      <c r="J972" s="5"/>
      <c r="K972" s="5"/>
      <c r="L972" s="5"/>
      <c r="M972" s="5"/>
      <c r="N972" s="5"/>
      <c r="O972" s="5"/>
      <c r="P972" s="5"/>
      <c r="Q972" s="5"/>
      <c r="R972" s="5"/>
      <c r="S972" s="5"/>
      <c r="T972" s="5"/>
      <c r="U972" s="5"/>
      <c r="V972" s="5"/>
      <c r="W972" s="5"/>
    </row>
    <row r="973" spans="1:23" ht="16" x14ac:dyDescent="0.2">
      <c r="A973" s="5"/>
      <c r="B973" s="6"/>
      <c r="C973" s="6"/>
      <c r="D973" s="6"/>
      <c r="E973" s="6"/>
      <c r="F973" s="5"/>
      <c r="G973" s="5"/>
      <c r="H973" s="5"/>
      <c r="I973" s="5"/>
      <c r="J973" s="5"/>
      <c r="K973" s="5"/>
      <c r="L973" s="5"/>
      <c r="M973" s="5"/>
      <c r="N973" s="5"/>
      <c r="O973" s="5"/>
      <c r="P973" s="5"/>
      <c r="Q973" s="5"/>
      <c r="R973" s="5"/>
      <c r="S973" s="5"/>
      <c r="T973" s="5"/>
      <c r="U973" s="5"/>
      <c r="V973" s="5"/>
      <c r="W973" s="5"/>
    </row>
    <row r="974" spans="1:23" ht="16" x14ac:dyDescent="0.2">
      <c r="A974" s="5"/>
      <c r="B974" s="6"/>
      <c r="C974" s="6"/>
      <c r="D974" s="6"/>
      <c r="E974" s="6"/>
      <c r="F974" s="5"/>
      <c r="G974" s="5"/>
      <c r="H974" s="5"/>
      <c r="I974" s="5"/>
      <c r="J974" s="5"/>
      <c r="K974" s="5"/>
      <c r="L974" s="5"/>
      <c r="M974" s="5"/>
      <c r="N974" s="5"/>
      <c r="O974" s="5"/>
      <c r="P974" s="5"/>
      <c r="Q974" s="5"/>
      <c r="R974" s="5"/>
      <c r="S974" s="5"/>
      <c r="T974" s="5"/>
      <c r="U974" s="5"/>
      <c r="V974" s="5"/>
      <c r="W974" s="5"/>
    </row>
    <row r="975" spans="1:23" ht="16" x14ac:dyDescent="0.2">
      <c r="A975" s="5"/>
      <c r="B975" s="6"/>
      <c r="C975" s="6"/>
      <c r="D975" s="6"/>
      <c r="E975" s="6"/>
      <c r="F975" s="5"/>
      <c r="G975" s="5"/>
      <c r="H975" s="5"/>
      <c r="I975" s="5"/>
      <c r="J975" s="5"/>
      <c r="K975" s="5"/>
      <c r="L975" s="5"/>
      <c r="M975" s="5"/>
      <c r="N975" s="5"/>
      <c r="O975" s="5"/>
      <c r="P975" s="5"/>
      <c r="Q975" s="5"/>
      <c r="R975" s="5"/>
      <c r="S975" s="5"/>
      <c r="T975" s="5"/>
      <c r="U975" s="5"/>
      <c r="V975" s="5"/>
      <c r="W975" s="5"/>
    </row>
    <row r="976" spans="1:23" ht="16" x14ac:dyDescent="0.2">
      <c r="A976" s="5"/>
      <c r="B976" s="6"/>
      <c r="C976" s="6"/>
      <c r="D976" s="6"/>
      <c r="E976" s="6"/>
      <c r="F976" s="5"/>
      <c r="G976" s="5"/>
      <c r="H976" s="5"/>
      <c r="I976" s="5"/>
      <c r="J976" s="5"/>
      <c r="K976" s="5"/>
      <c r="L976" s="5"/>
      <c r="M976" s="5"/>
      <c r="N976" s="5"/>
      <c r="O976" s="5"/>
      <c r="P976" s="5"/>
      <c r="Q976" s="5"/>
      <c r="R976" s="5"/>
      <c r="S976" s="5"/>
      <c r="T976" s="5"/>
      <c r="U976" s="5"/>
      <c r="V976" s="5"/>
      <c r="W976" s="5"/>
    </row>
    <row r="977" spans="1:23" ht="16" x14ac:dyDescent="0.2">
      <c r="A977" s="5"/>
      <c r="B977" s="6"/>
      <c r="C977" s="6"/>
      <c r="D977" s="6"/>
      <c r="E977" s="6"/>
      <c r="F977" s="5"/>
      <c r="G977" s="5"/>
      <c r="H977" s="5"/>
      <c r="I977" s="5"/>
      <c r="J977" s="5"/>
      <c r="K977" s="5"/>
      <c r="L977" s="5"/>
      <c r="M977" s="5"/>
      <c r="N977" s="5"/>
      <c r="O977" s="5"/>
      <c r="P977" s="5"/>
      <c r="Q977" s="5"/>
      <c r="R977" s="5"/>
      <c r="S977" s="5"/>
      <c r="T977" s="5"/>
      <c r="U977" s="5"/>
      <c r="V977" s="5"/>
      <c r="W977" s="5"/>
    </row>
    <row r="978" spans="1:23" ht="16" x14ac:dyDescent="0.2">
      <c r="A978" s="5"/>
      <c r="B978" s="6"/>
      <c r="C978" s="6"/>
      <c r="D978" s="6"/>
      <c r="E978" s="6"/>
      <c r="F978" s="5"/>
      <c r="G978" s="5"/>
      <c r="H978" s="5"/>
      <c r="I978" s="5"/>
      <c r="J978" s="5"/>
      <c r="K978" s="5"/>
      <c r="L978" s="5"/>
      <c r="M978" s="5"/>
      <c r="N978" s="5"/>
      <c r="O978" s="5"/>
      <c r="P978" s="5"/>
      <c r="Q978" s="5"/>
      <c r="R978" s="5"/>
      <c r="S978" s="5"/>
      <c r="T978" s="5"/>
      <c r="U978" s="5"/>
      <c r="V978" s="5"/>
      <c r="W978" s="5"/>
    </row>
    <row r="979" spans="1:23" ht="16" x14ac:dyDescent="0.2">
      <c r="A979" s="5"/>
      <c r="B979" s="6"/>
      <c r="C979" s="6"/>
      <c r="D979" s="6"/>
      <c r="E979" s="6"/>
      <c r="F979" s="5"/>
      <c r="G979" s="5"/>
      <c r="H979" s="5"/>
      <c r="I979" s="5"/>
      <c r="J979" s="5"/>
      <c r="K979" s="5"/>
      <c r="L979" s="5"/>
      <c r="M979" s="5"/>
      <c r="N979" s="5"/>
      <c r="O979" s="5"/>
      <c r="P979" s="5"/>
      <c r="Q979" s="5"/>
      <c r="R979" s="5"/>
      <c r="S979" s="5"/>
      <c r="T979" s="5"/>
      <c r="U979" s="5"/>
      <c r="V979" s="5"/>
      <c r="W979" s="5"/>
    </row>
    <row r="980" spans="1:23" ht="16" x14ac:dyDescent="0.2">
      <c r="A980" s="5"/>
      <c r="B980" s="6"/>
      <c r="C980" s="6"/>
      <c r="D980" s="6"/>
      <c r="E980" s="6"/>
      <c r="F980" s="5"/>
      <c r="G980" s="5"/>
      <c r="H980" s="5"/>
      <c r="I980" s="5"/>
      <c r="J980" s="5"/>
      <c r="K980" s="5"/>
      <c r="L980" s="5"/>
      <c r="M980" s="5"/>
      <c r="N980" s="5"/>
      <c r="O980" s="5"/>
      <c r="P980" s="5"/>
      <c r="Q980" s="5"/>
      <c r="R980" s="5"/>
      <c r="S980" s="5"/>
      <c r="T980" s="5"/>
      <c r="U980" s="5"/>
      <c r="V980" s="5"/>
      <c r="W980" s="5"/>
    </row>
    <row r="981" spans="1:23" ht="16" x14ac:dyDescent="0.2">
      <c r="A981" s="5"/>
      <c r="B981" s="6"/>
      <c r="C981" s="6"/>
      <c r="D981" s="6"/>
      <c r="E981" s="6"/>
      <c r="F981" s="5"/>
      <c r="G981" s="5"/>
      <c r="H981" s="5"/>
      <c r="I981" s="5"/>
      <c r="J981" s="5"/>
      <c r="K981" s="5"/>
      <c r="L981" s="5"/>
      <c r="M981" s="5"/>
      <c r="N981" s="5"/>
      <c r="O981" s="5"/>
      <c r="P981" s="5"/>
      <c r="Q981" s="5"/>
      <c r="R981" s="5"/>
      <c r="S981" s="5"/>
      <c r="T981" s="5"/>
      <c r="U981" s="5"/>
      <c r="V981" s="5"/>
      <c r="W981" s="5"/>
    </row>
    <row r="982" spans="1:23" ht="16" x14ac:dyDescent="0.2">
      <c r="A982" s="5"/>
      <c r="B982" s="6"/>
      <c r="C982" s="6"/>
      <c r="D982" s="6"/>
      <c r="E982" s="6"/>
      <c r="F982" s="5"/>
      <c r="G982" s="5"/>
      <c r="H982" s="5"/>
      <c r="I982" s="5"/>
      <c r="J982" s="5"/>
      <c r="K982" s="5"/>
      <c r="L982" s="5"/>
      <c r="M982" s="5"/>
      <c r="N982" s="5"/>
      <c r="O982" s="5"/>
      <c r="P982" s="5"/>
      <c r="Q982" s="5"/>
      <c r="R982" s="5"/>
      <c r="S982" s="5"/>
      <c r="T982" s="5"/>
      <c r="U982" s="5"/>
      <c r="V982" s="5"/>
      <c r="W982" s="5"/>
    </row>
    <row r="983" spans="1:23" ht="16" x14ac:dyDescent="0.2">
      <c r="A983" s="5"/>
      <c r="B983" s="6"/>
      <c r="C983" s="6"/>
      <c r="D983" s="6"/>
      <c r="E983" s="6"/>
      <c r="F983" s="5"/>
      <c r="G983" s="5"/>
      <c r="H983" s="5"/>
      <c r="I983" s="5"/>
      <c r="J983" s="5"/>
      <c r="K983" s="5"/>
      <c r="L983" s="5"/>
      <c r="M983" s="5"/>
      <c r="N983" s="5"/>
      <c r="O983" s="5"/>
      <c r="P983" s="5"/>
      <c r="Q983" s="5"/>
      <c r="R983" s="5"/>
      <c r="S983" s="5"/>
      <c r="T983" s="5"/>
      <c r="U983" s="5"/>
      <c r="V983" s="5"/>
      <c r="W983" s="5"/>
    </row>
    <row r="984" spans="1:23" ht="16" x14ac:dyDescent="0.2">
      <c r="A984" s="5"/>
      <c r="B984" s="6"/>
      <c r="C984" s="6"/>
      <c r="D984" s="6"/>
      <c r="E984" s="6"/>
      <c r="F984" s="5"/>
      <c r="G984" s="5"/>
      <c r="H984" s="5"/>
      <c r="I984" s="5"/>
      <c r="J984" s="5"/>
      <c r="K984" s="5"/>
      <c r="L984" s="5"/>
      <c r="M984" s="5"/>
      <c r="N984" s="5"/>
      <c r="O984" s="5"/>
      <c r="P984" s="5"/>
      <c r="Q984" s="5"/>
      <c r="R984" s="5"/>
      <c r="S984" s="5"/>
      <c r="T984" s="5"/>
      <c r="U984" s="5"/>
      <c r="V984" s="5"/>
      <c r="W984" s="5"/>
    </row>
    <row r="985" spans="1:23" ht="16" x14ac:dyDescent="0.2">
      <c r="A985" s="5"/>
      <c r="B985" s="6"/>
      <c r="C985" s="6"/>
      <c r="D985" s="6"/>
      <c r="E985" s="6"/>
      <c r="F985" s="5"/>
      <c r="G985" s="5"/>
      <c r="H985" s="5"/>
      <c r="I985" s="5"/>
      <c r="J985" s="5"/>
      <c r="K985" s="5"/>
      <c r="L985" s="5"/>
      <c r="M985" s="5"/>
      <c r="N985" s="5"/>
      <c r="O985" s="5"/>
      <c r="P985" s="5"/>
      <c r="Q985" s="5"/>
      <c r="R985" s="5"/>
      <c r="S985" s="5"/>
      <c r="T985" s="5"/>
      <c r="U985" s="5"/>
      <c r="V985" s="5"/>
      <c r="W985" s="5"/>
    </row>
    <row r="986" spans="1:23" ht="16" x14ac:dyDescent="0.2">
      <c r="A986" s="5"/>
      <c r="B986" s="6"/>
      <c r="C986" s="6"/>
      <c r="D986" s="6"/>
      <c r="E986" s="6"/>
      <c r="F986" s="5"/>
      <c r="G986" s="5"/>
      <c r="H986" s="5"/>
      <c r="I986" s="5"/>
      <c r="J986" s="5"/>
      <c r="K986" s="5"/>
      <c r="L986" s="5"/>
      <c r="M986" s="5"/>
      <c r="N986" s="5"/>
      <c r="O986" s="5"/>
      <c r="P986" s="5"/>
      <c r="Q986" s="5"/>
      <c r="R986" s="5"/>
      <c r="S986" s="5"/>
      <c r="T986" s="5"/>
      <c r="U986" s="5"/>
      <c r="V986" s="5"/>
      <c r="W986" s="5"/>
    </row>
    <row r="987" spans="1:23" ht="16" x14ac:dyDescent="0.2">
      <c r="A987" s="5"/>
      <c r="B987" s="6"/>
      <c r="C987" s="6"/>
      <c r="D987" s="6"/>
      <c r="E987" s="6"/>
      <c r="F987" s="5"/>
      <c r="G987" s="5"/>
      <c r="H987" s="5"/>
      <c r="I987" s="5"/>
      <c r="J987" s="5"/>
      <c r="K987" s="5"/>
      <c r="L987" s="5"/>
      <c r="M987" s="5"/>
      <c r="N987" s="5"/>
      <c r="O987" s="5"/>
      <c r="P987" s="5"/>
      <c r="Q987" s="5"/>
      <c r="R987" s="5"/>
      <c r="S987" s="5"/>
      <c r="T987" s="5"/>
      <c r="U987" s="5"/>
      <c r="V987" s="5"/>
      <c r="W987" s="5"/>
    </row>
    <row r="988" spans="1:23" ht="16" x14ac:dyDescent="0.2">
      <c r="A988" s="5"/>
      <c r="B988" s="6"/>
      <c r="C988" s="6"/>
      <c r="D988" s="6"/>
      <c r="E988" s="6"/>
      <c r="F988" s="5"/>
      <c r="G988" s="5"/>
      <c r="H988" s="5"/>
      <c r="I988" s="5"/>
      <c r="J988" s="5"/>
      <c r="K988" s="5"/>
      <c r="L988" s="5"/>
      <c r="M988" s="5"/>
      <c r="N988" s="5"/>
      <c r="O988" s="5"/>
      <c r="P988" s="5"/>
      <c r="Q988" s="5"/>
      <c r="R988" s="5"/>
      <c r="S988" s="5"/>
      <c r="T988" s="5"/>
      <c r="U988" s="5"/>
      <c r="V988" s="5"/>
      <c r="W988" s="5"/>
    </row>
    <row r="989" spans="1:23" ht="16" x14ac:dyDescent="0.2">
      <c r="A989" s="5"/>
      <c r="B989" s="6"/>
      <c r="C989" s="6"/>
      <c r="D989" s="6"/>
      <c r="E989" s="6"/>
      <c r="F989" s="5"/>
      <c r="G989" s="5"/>
      <c r="H989" s="5"/>
      <c r="I989" s="5"/>
      <c r="J989" s="5"/>
      <c r="K989" s="5"/>
      <c r="L989" s="5"/>
      <c r="M989" s="5"/>
      <c r="N989" s="5"/>
      <c r="O989" s="5"/>
      <c r="P989" s="5"/>
      <c r="Q989" s="5"/>
      <c r="R989" s="5"/>
      <c r="S989" s="5"/>
      <c r="T989" s="5"/>
      <c r="U989" s="5"/>
      <c r="V989" s="5"/>
      <c r="W989" s="5"/>
    </row>
    <row r="990" spans="1:23" ht="16" x14ac:dyDescent="0.2">
      <c r="A990" s="5"/>
      <c r="B990" s="6"/>
      <c r="C990" s="6"/>
      <c r="D990" s="6"/>
      <c r="E990" s="6"/>
      <c r="F990" s="5"/>
      <c r="G990" s="5"/>
      <c r="H990" s="5"/>
      <c r="I990" s="5"/>
      <c r="J990" s="5"/>
      <c r="K990" s="5"/>
      <c r="L990" s="5"/>
      <c r="M990" s="5"/>
      <c r="N990" s="5"/>
      <c r="O990" s="5"/>
      <c r="P990" s="5"/>
      <c r="Q990" s="5"/>
      <c r="R990" s="5"/>
      <c r="S990" s="5"/>
      <c r="T990" s="5"/>
      <c r="U990" s="5"/>
      <c r="V990" s="5"/>
      <c r="W990" s="5"/>
    </row>
    <row r="991" spans="1:23" ht="16" x14ac:dyDescent="0.2">
      <c r="A991" s="5"/>
      <c r="B991" s="6"/>
      <c r="C991" s="6"/>
      <c r="D991" s="6"/>
      <c r="E991" s="6"/>
      <c r="F991" s="5"/>
      <c r="G991" s="5"/>
      <c r="H991" s="5"/>
      <c r="I991" s="5"/>
      <c r="J991" s="5"/>
      <c r="K991" s="5"/>
      <c r="L991" s="5"/>
      <c r="M991" s="5"/>
      <c r="N991" s="5"/>
      <c r="O991" s="5"/>
      <c r="P991" s="5"/>
      <c r="Q991" s="5"/>
      <c r="R991" s="5"/>
      <c r="S991" s="5"/>
      <c r="T991" s="5"/>
      <c r="U991" s="5"/>
      <c r="V991" s="5"/>
      <c r="W991" s="5"/>
    </row>
    <row r="992" spans="1:23" ht="16" x14ac:dyDescent="0.2">
      <c r="A992" s="5"/>
      <c r="B992" s="6"/>
      <c r="C992" s="6"/>
      <c r="D992" s="6"/>
      <c r="E992" s="6"/>
      <c r="F992" s="5"/>
      <c r="G992" s="5"/>
      <c r="H992" s="5"/>
      <c r="I992" s="5"/>
      <c r="J992" s="5"/>
      <c r="K992" s="5"/>
      <c r="L992" s="5"/>
      <c r="M992" s="5"/>
      <c r="N992" s="5"/>
      <c r="O992" s="5"/>
      <c r="P992" s="5"/>
      <c r="Q992" s="5"/>
      <c r="R992" s="5"/>
      <c r="S992" s="5"/>
      <c r="T992" s="5"/>
      <c r="U992" s="5"/>
      <c r="V992" s="5"/>
      <c r="W992" s="5"/>
    </row>
    <row r="993" spans="1:23" ht="16" x14ac:dyDescent="0.2">
      <c r="A993" s="5"/>
      <c r="B993" s="6"/>
      <c r="C993" s="6"/>
      <c r="D993" s="6"/>
      <c r="E993" s="6"/>
      <c r="F993" s="5"/>
      <c r="G993" s="5"/>
      <c r="H993" s="5"/>
      <c r="I993" s="5"/>
      <c r="J993" s="5"/>
      <c r="K993" s="5"/>
      <c r="L993" s="5"/>
      <c r="M993" s="5"/>
      <c r="N993" s="5"/>
      <c r="O993" s="5"/>
      <c r="P993" s="5"/>
      <c r="Q993" s="5"/>
      <c r="R993" s="5"/>
      <c r="S993" s="5"/>
      <c r="T993" s="5"/>
      <c r="U993" s="5"/>
      <c r="V993" s="5"/>
      <c r="W993" s="5"/>
    </row>
    <row r="994" spans="1:23" ht="16" x14ac:dyDescent="0.2">
      <c r="A994" s="5"/>
      <c r="B994" s="6"/>
      <c r="C994" s="6"/>
      <c r="D994" s="6"/>
      <c r="E994" s="6"/>
      <c r="F994" s="5"/>
      <c r="G994" s="5"/>
      <c r="H994" s="5"/>
      <c r="I994" s="5"/>
      <c r="J994" s="5"/>
      <c r="K994" s="5"/>
      <c r="L994" s="5"/>
      <c r="M994" s="5"/>
      <c r="N994" s="5"/>
      <c r="O994" s="5"/>
      <c r="P994" s="5"/>
      <c r="Q994" s="5"/>
      <c r="R994" s="5"/>
      <c r="S994" s="5"/>
      <c r="T994" s="5"/>
      <c r="U994" s="5"/>
      <c r="V994" s="5"/>
      <c r="W994" s="5"/>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2025-12-04T18:56:15Z</dcterms:created>
  <dcterms:modified xsi:type="dcterms:W3CDTF">2025-12-05T15:16:26Z</dcterms:modified>
</cp:coreProperties>
</file>