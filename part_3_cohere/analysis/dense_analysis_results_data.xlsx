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B91C5045-21BF-0B4B-B91A-F43E9BDE77EA}" xr6:coauthVersionLast="47" xr6:coauthVersionMax="47" xr10:uidLastSave="{00000000-0000-0000-0000-000000000000}"/>
  <bookViews>
    <workbookView xWindow="180" yWindow="760" windowWidth="30060" windowHeight="18880" activeTab="1" xr2:uid="{00000000-000D-0000-FFFF-FFFF00000000}"/>
  </bookViews>
  <sheets>
    <sheet name="avg scores" sheetId="2" r:id="rId1"/>
    <sheet name="precision" sheetId="4" r:id="rId2"/>
    <sheet name="raw data" sheetId="1" r:id="rId3"/>
    <sheet name="avg doc score" sheetId="3" r:id="rId4"/>
  </sheets>
  <externalReferences>
    <externalReference r:id="rId5"/>
    <externalReference r:id="rId6"/>
  </externalReferences>
  <calcPr calcId="191029"/>
  <pivotCaches>
    <pivotCache cacheId="9" r:id="rId7"/>
    <pivotCache cacheId="31" r:id="rId8"/>
    <pivotCache cacheId="43"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3" l="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 i="3"/>
  <c r="G33" i="3" l="1"/>
  <c r="H33" i="3"/>
</calcChain>
</file>

<file path=xl/sharedStrings.xml><?xml version="1.0" encoding="utf-8"?>
<sst xmlns="http://schemas.openxmlformats.org/spreadsheetml/2006/main" count="698" uniqueCount="155">
  <si>
    <t>Query</t>
  </si>
  <si>
    <t>Precision</t>
  </si>
  <si>
    <t>Recall</t>
  </si>
  <si>
    <t>F1-Score</t>
  </si>
  <si>
    <t>Accuracy</t>
  </si>
  <si>
    <t>Balanced accuracy</t>
  </si>
  <si>
    <t>Faithfulness score</t>
  </si>
  <si>
    <t>Documents score</t>
  </si>
  <si>
    <t>Response</t>
  </si>
  <si>
    <t>which studies examined the abstract in metadata?</t>
  </si>
  <si>
    <t>[(0.6519982, '10.1162/qss_a_00286'), (0.33157462, '10.48550/arXiv.2303.17661'), (0.32875618, '10.31222/osf.io/smxe5'), (0.19046825, '10.31274/b8136f97.ccc3dae4'), (0.108387195, '10.1002/leap.1411')]</t>
  </si>
  <si>
    <t>Summary: Four studies examined the abstract in metadata.
DOI: 10.1162/qss_a_00286 - This study compares the amount of metadata and the completeness degree of research publications in new academic databases.
DOI: 10.31222/osf.io/smxe5 - This study presents an up-to-date overview of the availability of six metadata elements in Crossref, including abstracts.
DOI: 10.31274/b8136f97.ccc3dae4 - This study compares funder metadata in OpenAlex and Dimensions, two scholarly databases.
DOI: 10.1002/leap.1411 - This study investigates the lexical content of abstracts associated with preprints issued in response to the COVID-19 pandemic.
My lady, I hope this information is helpful. If you have any further questions or need additional assistance, please don't hesitate to ask.</t>
  </si>
  <si>
    <t>Summary: I found four studies that examined the abstract in metadata.
DOI: 10.1162/qss_a_00286
Completeness degree of publication metadata in eight free-access scholarly databases
This study compares the amount of metadata and the completeness degree of research publications in new academic databases.
DOI: 10.31222/osf.io/smxe5
Crossref as a source of open bibliographic metadata
This study presents an up-to-date overview of the availability of six metadata elements in Crossref, including abstracts.
DOI: 10.31274/b8136f97.ccc3dae4
Comparing Funder Metadata in OpenAlex and Dimensions
This study compares the results from OpenAlex and Dimensions, two scholarly databases that provide metadata, including abstracts.
DOI: 10.1002/leap.1411
Over‐promotion and caution in abstracts of preprints during the COVID‐19 crisis
This study investigates whether the COVID-19 crisis has changed the lexical content of abstracts in preprints.
My lady, I hope this information is helpful. If you have any further questions or need additional assistance, please let me know.</t>
  </si>
  <si>
    <t>[(0.6519982, '10.1162/qss_a_00286'), (0.3312825, '10.48550/arXiv.2303.17661'), (0.32875618, '10.31222/osf.io/smxe5'), (0.19046825, '10.31274/b8136f97.ccc3dae4'), (0.10833058, '10.1002/leap.1411')]</t>
  </si>
  <si>
    <t>Summary: I have found four studies that examined the abstract in metadata.
DOI: 10.1162/qss_a_00286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
DOI: 10.31222/osf.io/smxe5
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
DOI: 10.31274/b8136f97.ccc3dae4
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
DOI: 10.1002/leap.1411
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
My lady, I hope this information is helpful. If you have any further questions or need additional assistance, please let me know.</t>
  </si>
  <si>
    <t>Summary: I have found four studies that examined the abstract in metadata.
DOI: 10.1162/qss_a_00286
Title: Completeness degree of publication metadata in eight free-access scholarly databases
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10.1002/leap.1411
Title: Over‐promotion and caution in abstracts of preprints during the COVID‐19 crisis
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
My lady, is there anything else I can help you with?</t>
  </si>
  <si>
    <t>Summary: I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10.31274/b8136f97.ccc3dae4 - This study compared funder metadata in OpenAlex and Dimensions, two scholarly databases that provide metadata.
DOI: 10.1002/leap.1411 - This study investigated whether the COVID-19 crisis changed the lexical content of abstracts in preprints.
My lady, I hope this information is helpful. If you have any further questions or need additional assistance, please let me know.</t>
  </si>
  <si>
    <t>which studies examined citations?</t>
  </si>
  <si>
    <t>[(0.22735819, '10.1007/s11192-022-04367-w'), (0.13381115, '10.1162/qss_a_00112')]</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</si>
  <si>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</si>
  <si>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</si>
  <si>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This study analysed the open bibliographic metadata available in Crossref to identify classes of DOI mistakes. It highlighted which publishers were responsible for such mistakes and how many of these incorrect DOIs could be corrected through automatic processes.
DOI: 10.1162/qss_a_00112
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t>
  </si>
  <si>
    <t>Tell me about OpenAlex.</t>
  </si>
  <si>
    <t>[(0.79732054, '10.48550/arXiv.2401.16359'), (0.73505294, '10.48550/arXiv.2409.10633'), (0.6894943, '10.48550/arXiv.2404.17663'), (0.5712171, '10.3145/epi.2023.mar.09'), (0.43799233, '10.48550/arXiv.2502.03627')]</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</si>
  <si>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</si>
  <si>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</si>
  <si>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Summary: OpenAlex is a promising open-source database of scholarly metadata, which launched in 2022.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</si>
  <si>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new inclusive open-source database that is already in use by scholars and research institutions.
DOI: 10.48550/arXiv.2409.10633 - OpenAlex was launched in 2022 and promised comprehensive, inclusive, and open-source research information.
DOI: 10.48550/arXiv.2404.17663 - OpenAlex is a superset of Scopus and can be a reliable alternative for some analyses, particularly at the country level.
DOI: 10.3145/epi.2023.mar.09 - OpenAlex transferred practically all works from MAG, preserving their bibliographic data publication year, volume, first and last page, DOI as well as the number of references that are important ingredients of citation analysis.
DOI: 10.48550/arXiv.2502.03627 - OpenAlex is a lack of truly multilingual, large-scale bibliographic database, and it is hoped that these results help confirm and foster the unparalleled potential of the OpenAlex database for cross-linguistic, bibliometric-based research and analysis.
My lady, I hope this information is helpful. If you have any further questions, please let me know.</t>
  </si>
  <si>
    <t>Summary: OpenAlex is a promising open source of scholarly metadata, and competitor to established proprietary sources, such as the Web of Science and Scopus.
DOI: 10.48550/arXiv.2401.16359
Title: Reference Coverage Analysis of OpenAlex compared to Web of Science and Scopus
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Title: Evaluating the Linguistic Coverage of OpenAlex: An Assessment of Metadata Accuracy and Completeness
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Title: An analysis of the suitability of OpenAlex for bibliometric analyses
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Title: Which of the metadata with relevance for bibliometrics are the same and which are different when switching from Microsoft Academic Graph to OpenAlex?
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Title: Sorting the Babble in Babel: Assessing the Performance of Language Detection Algorithms on the OpenAlex Database
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</si>
  <si>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Tell me about Crossref.</t>
  </si>
  <si>
    <t>[(0.7476348, '10.1162/qss_a_00022'), (0.52173984, '10.31222/osf.io/smxe5'), (0.33646238, '10.1162/qss_a_00210'), (0.21606153, '10.1007/s11192-022-04367-w'), (0.19438346, '10.31274/b8136f97.ccc3dae4')]</t>
  </si>
  <si>
    <t>Summary: Crossref is a sustainable source of community-owned scholarly metadata.
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My lady, is there anything else I can help you with?</t>
  </si>
  <si>
    <t>Summary: Crossref is a sustainable source of community-owned scholarly metadata.
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</si>
  <si>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[(0.74807674, '10.1162/qss_a_00022'), (0.52203226, '10.31222/osf.io/smxe5'), (0.3362662, '10.1162/qss_a_00210'), (0.2160119, '10.1007/s11192-022-04367-w'), (0.19438346, '10.31274/b8136f97.ccc3dae4')]</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</si>
  <si>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</si>
  <si>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 Crossref contains over 106 million records and is expanding at an average rate of 11% a year. It has become one of the major sources of scholarly data for publishers, authors, librarians, funders, and researchers.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10.31274/b8136f97.ccc3dae4 - OpenAlex uses Crossref as a major building block in its dataset, with the general consequence that if Crossref doesn’t have it, OpenAlex won’t see it.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</si>
  <si>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</si>
  <si>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Which papers evaluate the linguistic coverage or language-related metadata in scholarly databases?</t>
  </si>
  <si>
    <t>[(0.8991304, '10.48550/arXiv.2409.10633'), (0.27390003, '10.1162/qss_a_00286'), (0.14425759, '10.48550/arXiv.2502.03627'), (0.13503832, '10.48550/arXiv.2401.16359'), (0.11645239, '10.1007/s11192-015-1765-5')]</t>
  </si>
  <si>
    <t>Summary: I found four papers that evaluate the linguistic coverage or language-related metadata in scholarly databases.
DOI: 10.48550/arXiv.2409.10633
Evaluating the Linguistic Coverage of OpenAlex: An Assessment of Metadata Accuracy and Completeness
DOI: 10.1162/qss_a_00286
Completeness degree of publication metadata in eight free-access scholarly databases
DOI: 10.48550/arXiv.2401.16359
Reference Coverage Analysis of OpenAlex compared to Web of Science and Scopus
DOI: 10.1007/s11192-015-1765-5
The journal coverage of Web of Science and Scopus: a comparative analysis
My lady, is there anything else I can help you with?</t>
  </si>
  <si>
    <t>Summary: I found four papers that evaluate the linguistic coverage or language-related metadata in scholarly databases.
DOI: 10.48550/arXiv.2409.10633
This paper evaluates the linguistic coverage of OpenAlex, comparing it with Web of Science (WoS) and conducting a manual validation of 6,836 articles. It finds that OpenAlex has more balanced linguistic coverage than WoS, but its language metadata is not always accurate.
DOI: 10.1162/qss_a_00286
This study compares the completeness of metadata, including language, in eight free-access scholarly databases. It finds that third-party databases like OpenAlex have higher metadata quality and completeness rates compared to academic search engines.
DOI: 10.48550/arXiv.2502.03627
This paper assesses the performance of language detection algorithms on the OpenAlex database. It compares various algorithms and finds that procedure performance depends on the importance given to precision and recall.
DOI: 10.1007/s11192-015-1765-5
This research compares the journal coverage of Web of Science and Scopus, assessing language representation. It finds that English-language journals are overrepresented in both databases, which may introduce biases in bibliometric analyses.
My lady, I hope this information is helpful. If you have any further questions or need more details, please let me know.</t>
  </si>
  <si>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10.1007/s11192-015-1765-5
The journal coverage of Web of Science and Scopus: a comparative analysis
This paper compares the coverage of active scholarly journals in WoS (13,605 journals) and Scopus (20,346 journals) with Ulrich’s extensive periodical directory (63,013 journals) to assess whether some field, publishing country and language are over or underrepresented.</t>
  </si>
  <si>
    <t>Summary: Several papers evaluate the linguistic coverage or language-related metadata in scholarly databases.
DOI: 10.48550/arXiv.2409.10633 - Evaluates the linguistic coverage of OpenAlex, comparing it with Web of Science (WoS) and conducting manual validation. OpenAlex shows more balanced linguistic coverage but has inaccuracies in language metadata.
DOI: 10.1162/qss_a_00286 - Compares metadata completeness in eight free-access scholarly databases, including language-related metadata. Third-party databases like OpenAlex have higher completeness rates than academic search engines.
DOI: 10.48550/arXiv.2502.03627 - Assesses language detection algorithms on the OpenAlex database, highlighting its potential for cross-linguistic research despite limitations in multilingual coverage.
DOI: 10.48550/arXiv.2401.16359 - Analyzes reference coverage and metadata in OpenAlex, Web of Science, and Scopus, noting similarities and differences in metadata distribution, including language-related data.
DOI: 10.1007/s11192-015-1765-5 - Compares journal coverage in Web of Science and Scopus, identifying biases towards English-language journals and certain fields, impacting bibliometric analyses.
My lady, these papers provide insights into the linguistic coverage and metadata quality in various scholarly databases, highlighting both strengths and limitations.</t>
  </si>
  <si>
    <t>[(0.8991304, '10.48550/arXiv.2409.10633'), (0.27390003, '10.1162/qss_a_00286'), (0.17677137, '10.48550/arXiv.2404.01985'), (0.13503832, '10.48550/arXiv.2401.16359'), (0.11645239, '10.1007/s11192-015-1765-5')]</t>
  </si>
  <si>
    <t>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10.48550/arXiv.2409.10633
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DOI: 10.1162/qss_a_00286
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
DOI: 10.48550/arXiv.2404.01985
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DOI: 10.1007/s11192-015-1765-5
My lady, I hope this information is helpful.</t>
  </si>
  <si>
    <t>Which papers address funding metadata, its availability, or its analysis in scholarly databases?</t>
  </si>
  <si>
    <t>[(0.7409441, '10.31274/b8136f97.ccc3dae4'), (0.5602773, '10.31222/osf.io/smxe5'), (0.53181785, '10.1162/qss_a_00210'), (0.5172057, '10.1162/qss_a_00212'), (0.3355473, '10.1162/qss_a_00286')]</t>
  </si>
  <si>
    <t>Summary: Several papers address funding metadata, its availability, or its analysis in scholarly databases.
DOI: 10.31274/b8136f97.ccc3dae4 - This paper compares funder metadata in OpenAlex and Dimensions, discussing how funder metadata gets into scholarly databases and the challenges of its optional nature at DOI registration.
DOI: 10.31222/osf.io/smxe5 - This paper presents an overview of the availability of metadata elements, including funding information, in Crossref, highlighting improvements over time but also the need for further efforts to achieve full openness.
DOI: 10.1162/qss_a_00210 - This paper examines the availability and completeness of open funder metadata, specifically for publications funded by the Dutch Research Council, and compares coverage across different databases.
DOI: 10.1162/qss_a_00212 - This paper analyzes the open availability of funding data in Crossref for COVID-19 research publications and compares it with proprietary bibliometric databases, offering recommendations for improvement.
DOI: 10.1162/qss_a_00286 - While not directly focused on funding metadata, this paper compares the completeness of publication metadata, including funding information, across eight free-access scholarly databases.
My lady, I hope this information is helpful. If you have any further questions or need additional assistance, please don't hesitate to ask.</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</si>
  <si>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DOI: 10.31222/osf.io/smxe5 - Analyzes the availability of metadata elements, including funding information, in Crossref, highlighting improvements and areas for publisher efforts.
DOI: 10.1162/qss_a_00210 - Examines the availability and completeness of open funder metadata using a case study of publications funded by the Dutch Research Council, comparing Crossref with proprietary databases.
DOI: 10.1162/qss_a_00212 - Studies the open availability of funding data in Crossref for COVID-19 research, comparing it with proprietary databases and offering recommendations for improvement.
DOI: 10.1162/qss_a_00286 - Compares the completeness of publication metadata, including funding information, in eight free-access scholarly databases, highlighting differences between academic search engines and third-party databases.
My lady, I hope this information is helpful. If you have any further questions or need additional details, please let me know.</t>
  </si>
  <si>
    <t>Summary: Several papers address funding metadata, its availability, or its analysis in scholarly databases.
DOI: 10.31274/b8136f97.ccc3dae4 - Comparing Funder Metadata in OpenAlex and Dimensions: This paper compares the availability and analysis of funder metadata in two scholarly databases, OpenAlex and Dimensions.
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
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
DOI: 10.1162/qss_a_00212 - Funding COVID-19 research: Insights from an exploratory analysis using open data infrastructures: This paper analyzes the availability and quality of funding data in Crossref and other databases for publications related to COVID-19 research.
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
My lady, I hope this information is helpful. If you have any further questions or would like more details on a specific paper, please let me know.</t>
  </si>
  <si>
    <t>Summary: I found four papers that address funding metadata, its availability, or its analysis in scholarly databases.
DOI: 10.31274/b8136f97.ccc3dae4
This paper compares funder metadata in OpenAlex and Dimensions.
DOI: 10.31222/osf.io/smxe5
This paper presents an overview of the availability of six metadata elements in Crossref, including funding information.
DOI: 10.1162/qss_a_00210
This paper looks at the availability and completeness of open funder metadata in Crossref, Web of Science, Scopus, Dimensions, and Lens.
DOI: 10.1162/qss_a_00212
This paper studies the open availability of funding data in Crossref, Scopus, and Web of Science.
My lady, I hope this information is helpful. If you have any further questions, please let me know.</t>
  </si>
  <si>
    <t>Summary: Several papers address funding metadata, its availability, or its analysis in scholarly databases.
DOI: 10.31274/b8136f97.ccc3dae4
Comparing Funder Metadata in OpenAlex and Dimensions
DOI: 10.31222/osf.io/smxe5
Crossref as a source of open bibliographic metadata
DOI: 10.1162/qss_a_00210
The availability and completeness of open funder metadata: Case study for publications funded by the Dutch Research Council
DOI: 10.1162/qss_a_00212
Funding COVID-19 research: Insights from an exploratory analysis using open data infrastructures
DOI: 10.1162/qss_a_00286
Completeness degree of publication metadata in eight free-access scholarly databases</t>
  </si>
  <si>
    <t>Which papers discuss the use of Retrieval-Augmented Generation (RAG) in large language models or related applications?</t>
  </si>
  <si>
    <t>[(0.910998, '10.48550/arXiv.2312.10997'), (0.86136365, '10.48550/arXiv.2410.04231'), (0.8565368, '10.48550/arXiv.2406.13213'), (0.8536326, '10.1609/aaai.v38i16.29728'), (0.7300017, '10.48550/arXiv.2404.13948')]</t>
  </si>
  <si>
    <t>Retrieval-Augmented Generation (RAG) is a promising solution for addressing the limitations of Large Language Models (LLMs), such as hallucination, outdated knowledge, and non-transparent, untraceable reasoning processes.
DOI: 10.48550/arXiv.2312.10997
Retrieval-Augmented Generation for Large Language Models: A Survey
This paper provides a comprehensive review of RAG paradigms, including Naive RAG, Advanced RAG, and Modular RAG. It examines the tripartite foundation of RAG frameworks, highlighting state-of-the-art technologies in retrieval, generation, and augmentation techniques.
DOI: 10.48550/arXiv.2410.04231
Metadata-based Data Exploration with Retrieval-Augmented Generation for Large Language Models
This research introduces a new architecture for data exploration using RAG to enhance metadata-based data discovery. The system integrates LLMs with external vector databases to identify semantic relationships among diverse datasets.
DOI: 10.48550/arXiv.2406.13213
Multi-Meta-RAG: Improving RAG for Multi-Hop Queries using Database Filtering with LLM-Extracted Metadata
This paper presents Multi-Meta-RAG, a method to improve RAG for multi-hop queries by using database filtering with LLM-extracted metadata. The approach enhances the selection of relevant documents from various sources.
DOI: 10.1609/aaai.v38i16.29728
Benchmarking Large Language Models in Retrieval-Augmented Generation
This study systematically investigates the impact of RAG on LLMs by analyzing their performance in fundamental abilities required for RAG, such as noise robustness and information integration. It establishes the Retrieval-Augmented Generation Benchmark (RGB) for evaluation.
DOI: 10.48550/arXiv.2404.13948
Typos that Broke the RAG's Back: Genetic Attack on RAG Pipeline by Simulating Documents in the Wild via Low-level Perturbations
This work investigates the robustness of RAG systems against noisy documents and introduces a novel attack method, Genetic Attack on RAG (GARAG), to reveal vulnerabilities within RAG components.
My lady, these papers discuss the use of RAG in large language models and related applications, highlighting its potential and challenges.</t>
  </si>
  <si>
    <t>Retrieval-Augmented Generation (RAG) is a promising solution for addressing the limitations of LLMs.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10.48550/arXiv.2410.04231
Title: Metadata-based Data Exploration with Retrieval-Augmented Generation for Large Language Models
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
DOI: 10.1609/aaai.v38i16.29728
Title: Benchmarking Large Language Models in Retrieval-Augmented Generation
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DOI: 10.48550/arXiv.2404.13948
Title: Typos that Broke the RAG's Back: Genetic Attack on RAG Pipeline by Simulating Documents in the Wild via Low-level Perturbations
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
My lady, is there anything else I can help you with?</t>
  </si>
  <si>
    <t>Summary: Retrieval-Augmented Generation (RAG) is a promising solution for mitigating the hallucination of large language models (LLMs).
DOI: 10.48550/arXiv.2312.10997 - This comprehensive review paper offers a detailed examination of the progression of RAG paradigms, encompassing the Naive RAG, the Advanced RAG, and the Modular RAG.
DOI: 10.48550/arXiv.2410.04231 - This paper introduces a new architecture for data exploration which employs a form of Retrieval-Augmented Generation (RAG) to enhance metadata-based data discovery.
DOI: 10.48550/arXiv.2406.13213 - This paper introduces a new method called Multi-Meta-RAG, which uses database filtering with LLM-extracted metadata to improve the RAG selection of the relevant documents from various sources, relevant to the question.
DOI: 10.1609/aaai.v38i16.29728 - This paper systematically investigates the impact of Retrieval-Augmented Generation on large language models.
DOI: 10.48550/arXiv.2404.13948 - This paper introduces a novel attack method, the Genetic Attack on RAG (GARAG), which targets the vulnerability to noisy documents through low-level perturbations and a holistic evaluation of RAG robustness.
My lady, I hope this information is helpful. If you have any further questions, please don't hesitate to ask.</t>
  </si>
  <si>
    <t>I have found four papers that discuss the use of Retrieval-Augmented Generation (RAG) in large language models or related applications, my lady.
**Summary:** Retrieval-Augmented Generation (RAG) is a promising approach to enhance the accuracy and credibility of large language models (LLMs) by incorporating knowledge from external databases.
**DOI: 10.48550/arXiv.2312.10997**
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
**DOI: 10.48550/arXiv.2406.13213**
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
**DOI: 10.1609/aaai.v38i16.29728**
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
**DOI: 10.48550/arXiv.2404.13948**
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t>
  </si>
  <si>
    <t>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
Here are some papers that discuss the use of RAG in LLMs or related applications:
**DOI: 10.48550/arXiv.2312.10997**
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
**DOI: 10.48550/arXiv.2406.13213**
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
**DOI: 10.1609/aaai.v38i16.29728**
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
**DOI: 10.48550/arXiv.2404.13948**
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
My lady, I hope this information is helpful. If you have any further questions or need additional assistance, please don't hesitate to ask.</t>
  </si>
  <si>
    <t>What is Crossref’s role in the scholarly research ecosystem?</t>
  </si>
  <si>
    <t>[(0.95696133, '10.1162/qss_a_00022'), (0.5404151, '10.1590/SciELOPreprints.11205'), (0.46774563, '10.31222/osf.io/smxe5'), (0.22025895, '10.1162/qss_a_00210')]</t>
  </si>
  <si>
    <t>Summary: Crossref is a sustainable source of community-owned scholarly metadata that collects and makes available scholarly metadata for publishers, authors, librarians, funders, and researchers.
DOI: 10.1162/qss_a_00022
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
My lady, is there anything else I can assist you with?</t>
  </si>
  <si>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
Is there anything else I can help you with, my lady?</t>
  </si>
  <si>
    <t>Summary: Crossref is a sustainable source of community-owned scholarly metadata, providing over 106 million records of 13 content types including journals, conference papers, datasets, reports, preprints, peer reviews, and grants.
DOI: 10.1162/qss_a_00022
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
My lady, is there anything else you would like to know?</t>
  </si>
  <si>
    <t>[(0.95696133, '10.1162/qss_a_00022'), (0.5405607, '10.1590/SciELOPreprints.11205'), (0.46759978, '10.31222/osf.io/smxe5'), (0.22033444, '10.1162/qss_a_00210')]</t>
  </si>
  <si>
    <t>Summary: Crossref is a sustainable source of community-owned scholarly metadata that collects and makes available bibliographic metadata of scholarly publications.
DOI: 10.1162/qss_a_00022
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</si>
  <si>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major source of scholarly data for publishers, authors, librarians, funders, and researchers.
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
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My lady, I hope this information is helpful.</t>
  </si>
  <si>
    <t>What are the key features and limitations of OpenAlex as a bibliometric database?</t>
  </si>
  <si>
    <t>[(0.8364614, '10.48550/arXiv.2404.17663'), (0.54695654, '10.48550/arXiv.2401.16359'), (0.4784076, '10.48550/arXiv.2409.10633'), (0.47533798, '10.3145/epi.2023.mar.09'), (0.47241634, '10.48550/arXiv.2406.15154')]</t>
  </si>
  <si>
    <t>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
DOI: 10.48550/arXiv.2404.17663 - OpenAlex is a superset of Scopus and can be a reliable alternative for some analyses, particularly at the country level. However, issues with metadata accuracy and completeness require further research to fully understand and address its limitations.
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
DOI: 10.48550/arXiv.2409.10633 - OpenAlex exhibits more balanced linguistic coverage than Web of Science, but its language metadata is not always accurate. Critical use of OpenAlex can provide comprehensive language analyses, but improvements in metadata quality are needed.
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
DOI: 10.48550/arXiv.2406.15154 - OpenAlex is becoming an important free alternative for bibliometric analyses, but typologies and classifications can differ considerably between databases. The distinction between research and non-research texts may vary depending on the data source.
My lady, these are the key features and limitations of OpenAlex as a bibliometric database, based on the provided documents.</t>
  </si>
  <si>
    <t>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
DOI: 10.48550/arXiv.2404.17663: OpenAlex is a superset of Scopus and can be a reliable alternative for some analyses, particularly at the country level. However, metadata accuracy and completeness issues require further research to fully understand and address its limitations.
DOI: 10.48550/arXiv.2401.16359: OpenAlex provides comparable reference coverage and metadata to Web of Science and Scopus when restricted to a cleaned dataset of recent publications. However, its rapidly evolving nature raises questions about the trustworthiness of its data.
DOI: 10.48550/arXiv.2409.10633: OpenAlex exhibits a more balanced linguistic coverage than Web of Science, but its language metadata is not always accurate, leading to overestimation of English and underestimation of other languages.
DOI: 10.3145/epi.2023.mar.09: OpenAlex has improved upon Microsoft Academic Graph (MAG) in terms of document type specifications and subject classification assignments. It is at least as suited for bibliometric analyses as MAG for publication years before 2021.
DOI: 10.48550/arXiv.2406.15154: OpenAlex is becoming an increasingly important free alternative to established proprietary providers for bibliometric analyses. However, typologies and distinctions between research and non-research texts can vary considerably between databases.
My lady, I hope this summary meets your requirements. If you have any further questions or need additional information, please let me know.</t>
  </si>
  <si>
    <t>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
DOI: 10.48550/arXiv.2404.17663 - OpenAlex is a superset of Scopus and can be a reliable alternative for some analyses, particularly at the country level. However, issues of metadata accuracy and completeness require further research to fully address its limitations.
DOI: 10.48550/arXiv.2401.16359 - OpenAlex has comparable reference coverage and internal coverage rates to WoS and Scopus when restricted to a cleaned dataset of recent publications. However, its rapidly evolving nature raises questions about data trustworthiness.
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
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
DOI: 10.48550/arXiv.2406.15154 - OpenAlex is becoming an important free alternative to established proprietary providers for bibliometric analyses at libraries and universities. However, typologies and classifications can differ considerably between databases.
My lady, I hope this summary meets your requirements. If you have any further questions or need additional information, please let me know.</t>
  </si>
  <si>
    <t>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
DOI: 10.48550/arXiv.2404.17663 - OpenAlex is a superset of Scopus and can be a reliable alternative for some analyses, particularly at the country level. However, metadata accuracy and completeness require further research to fully address its limitations.
DOI: 10.48550/arXiv.2401.16359 - OpenAlex provides comparable reference coverage to Web of Science and Scopus but exhibits mixed results in metadata comparisons, capturing more ORCID identifiers but fewer abstracts.
DOI: 10.48550/arXiv.2409.10633 - OpenAlex offers more balanced linguistic coverage than Web of Science but has inaccurate language metadata, overestimating English and underestimating other languages.
DOI: 10.3145/epi.2023.mar.09 - OpenAlex preserves bibliographic data from Microsoft Academic Graph and improves document type specifications, making it well-suited for bibliometric analyses for publication years before 2021.
DOI: 10.48550/arXiv.2406.15154 - OpenAlex is becoming an important free alternative for bibliometric analyses, but publication and document type classifications can vary between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</si>
  <si>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but it has limitations in metadata accuracy and completeness, particularly regarding language coverage.
DOI: 10.48550/arXiv.2404.17663 - OpenAlex is a superset of Scopus and can be a reliable alternative for some analyses, but issues with metadata accuracy and completeness require further research to fully understand and address its limitations.
DOI: 10.48550/arXiv.2401.16359 - OpenAlex provides comparable reference coverage to Web of Science and Scopus, but its rapidly evolving nature raises questions about data trustworthiness, and metadata comparisons show mixed results.
DOI: 10.48550/arXiv.2409.10633 - OpenAlex exhibits more balanced linguistic coverage than Web of Science, but language metadata inaccuracies lead to overestimation of English and underestimation of other languages.
DOI: 10.3145/epi.2023.mar.09 - OpenAlex preserves bibliographic data from Microsoft Academic Graph and shows improvements in document type specifications, but subject reclassifications require further assessment for field-normalized bibliometric evaluations.
DOI: 10.48550/arXiv.2406.15154 - OpenAlex is becoming an important free alternative for bibliometric analyses, but publication and document type distinctions vary between databases, highlighting the need for careful consideration in analysis.
My lady, I hope this summary meets your requirements. If you have any further questions or need additional information, please let me know.</t>
  </si>
  <si>
    <t>What are the strengths and weaknesses of Web of Science (WoS) as a bibliometric database?</t>
  </si>
  <si>
    <t>[(0.47022632, '10.1007/s11192-015-1765-5'), (0.36141315, '10.1162/qss_a_00112'), (0.2322322, '10.48550/arXiv.2409.10633'), (0.15583521, '10.48550/arXiv.2404.17663')]</t>
  </si>
  <si>
    <t>Summary: Web of Science (WoS) and Scopus are the main sources of bibliometric information. However, these databases are biased towards English-language publications.
DOI: 10.1007/s11192-015-1765-5 - WoS and Scopus are biased towards Natural Sciences and Engineering as well as Biomedical Research to the detriment of Social Sciences and Arts and Humanities.
DOI: 10.48550/arXiv.2409.10633 - WoS is biased towards English-language publications, underestimating the use of other languages in research dissemination.
My lady, is there anything else I can help you with?</t>
  </si>
  <si>
    <t>Summary: Web of Science (WoS) is a bibliometric database that has been used for decades, alongside Scopus, as the main source of bibliometric information. However, both databases have been criticised for their biases towards certain disciplines, world regions and languages.
DOI: 10.1007/s11192-015-1765-5 - WoS and Scopus are the most commonly used bibliometric databases, but both favour Natural Sciences, Engineering and Biomedical Research over Social Sciences and Arts and Humanities. English-language journals are also overrepresented.
DOI: 10.48550/arXiv.2409.10633 - WoS and Scopus are biased towards English-language publications, underestimating the use of other languages. OpenAlex, a new, open-source database, has more balanced linguistic coverage, but its metadata is not always accurate.
DOI: 10.48550/arXiv.2404.17663 - WoS and Scopus underrepresent certain disciplines and world regions. OpenAlex, a new database, is a superset of Scopus and can be a reliable alternative for some analyses. However, more research is needed to fully understand and address its limitations.
My lady, I hope this information is helpful. If you have any further questions, please let me know.</t>
  </si>
  <si>
    <t>Summary: Web of Science (WoS) is a closed, proprietary database that is biased towards English-language publications.
DOI: 10.48550/arXiv.2409.10633
Is there anything else I can help you with, my lady?</t>
  </si>
  <si>
    <t>Summary: Web of Science (WoS) is a bibliometric database that has been used for decades, alongside Scopus. However, these traditional databases systematically underrepresent certain disciplines and world regions.
DOI: 10.1007/s11192-015-1765-5 - WoS and Scopus are biased towards Natural Sciences and Engineering as well as Biomedical Research to the detriment of Social Sciences and Arts and Humanities. English-language journals are overrepresented to the detriment of other languages.
DOI: 10.48550/arXiv.2409.10633 - WoS is largely biased towards English-language publications, underestimating the use of other languages in research dissemination.
DOI: 10.48550/arXiv.2404.17663 - WoS and Scopus systematically underrepresent certain disciplines and world regions.
My lady, I hope this information is helpful.</t>
  </si>
  <si>
    <t>How is RAG used to improve question answering or information retrieval systems?</t>
  </si>
  <si>
    <t>[(0.8190992, '10.1007/978-3-031-88708-6_3'), (0.76826453, '10.6109/jkiice.2023.27.12.1489'), (0.7166357, '10.48550/arXiv.2406.13213'), (0.7156829, '10.1109/ACCESS.2024.3395449'), (0.5843666, '10.48550/arXiv.2505.18247')]</t>
  </si>
  <si>
    <t>Summary: Retrieval Augmented Generation (RAG) is a framework for incorporating external knowledge to improve the performance of a downstream task, such as question answering.
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
DOI: 10.48550/arXiv.2505.18247 - Retrieval-Augmented Generation (RAG) struggles with domain-specific enterprise datasets, often isolated behind firewalls and rich in complex, specialized terminology unseen by LLMs during pre-training.
My lady, I hope this information is helpful.</t>
  </si>
  <si>
    <t>Summary: Retrieval-Augmented Generation (RAG) is a framework that incorporates external knowledge into a prompt for a large language model (LLM) to improve the performance of downstream tasks, such as question answering and information retrieval.
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
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
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
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
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
My lady, I hope this information is helpful. If you have any further questions or need more details, please let me know.</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</si>
  <si>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study investigates the role of relevance in RAG for knowledge-intensive language tasks, finding a small positive correlation between relevance and utility, which decreases with larger context sizes.
DOI: 10.6109/jkiice.2023.27.12.1489: This paper proposes Metadata Retrieval-Augmented Generation (M-RAG) for effective search in open-domain Question Answering (ODQA) systems, achieving up to 46% performance improvement compared to traditional ODQA systems.
DOI: 10.48550/arXiv.2406.13213: This study introduces Multi-Meta-RAG, a method that uses database filtering with LLM-extracted metadata to improve RAG's selection of relevant documents for multi-hop queries.
DOI: 10.1109/ACCESS.2024.3395449: This paper employs a RAG model to generate answers and expand new questions with corresponding answers, achieving state-of-the-art performance in question retrieval.
DOI: 10.48550/arXiv.2505.18247: This study introduces MetaGen Blended RAG, a novel enterprise search approach that enhances semantic retrievers through a metadata generation pipeline, achieving high retrieval accuracy on specialized domain datasets.
My lady, I hope this information is helpful. If you have any further questions or would like more details on a specific study, please let me know.</t>
  </si>
  <si>
    <t>Summary: Retrieval Augmented Generation (RAG) is a framework that incorporates external knowledge to improve the performance of a downstream task, such as question answering.
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The main goal of a CQA is to provide the most suitable answer in the shortest possible time.
DOI: 10.48550/arXiv.2505.18247 - Retrieval-Augmented Generation (RAG) struggles with domain-specific enterprise datasets, often isolated behind firewalls and rich in complex, specialized terminology unseen by LLMs during pre-training.
My lady, is there anything else I can help you with?</t>
  </si>
  <si>
    <t>Summary: Retrieval-Augmented Generation (RAG) is a framework that incorporates external knowledge into prompts for large language models (LLMs) to improve performance on downstream tasks, such as question answering and information retrieval.
DOI: 10.1007/978-3-031-88708-6_3
RAG maximises the total utility of documents, where utility refers to whether including a document in an LLM prompt improves downstream task performance. Studies have found a small positive correlation between relevance and utility, which decreases with larger context sizes.
DOI: 10.6109/jkiice.2023.27.12.1489
Metadata Retrieval-Augmented Generation (M-RAG) is a method that utilises embeddings with metadata and generative models to improve search in open-domain question answering systems. This approach has shown a 46% performance improvement compared to a baseline system.
DOI: 10.48550/arXiv.2406.13213
Multi-Meta-RAG is a method that uses database filtering with LLM-extracted metadata to improve RAG's selection of relevant documents for multi-hop queries. This approach has shown significant improvements on the MultiHop-RAG benchmark.
DOI: 10.1109/ACCESS.2024.3395449
A method using metadata and transformer-based techniques to improve question retrieval in community question answering forums has achieved a 51.47 MAP score, outperforming state-of-the-art approaches.
DOI: 10.48550/arXiv.2505.18247
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
My lady, I hope this information is helpful. If you have any further questions or would like more details on a specific DOI, please let me know.</t>
  </si>
  <si>
    <t>What are the main challenges in normalizing citation metrics across scientific fields?</t>
  </si>
  <si>
    <t>[(0.93694025, '10.1371/journal.pbio.1002542')]</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</si>
  <si>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would you like me to provide further information on this topic?</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</si>
  <si>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 hope this helps.</t>
  </si>
  <si>
    <t>Summary: Normalizing citation metrics across scientific fields is challenging due to differences in citation practices, publication rates, and field-specific factors.
DOI: 10.1371/journal.pbio.1002542 - This article discusses the challenges of normalizing citation metrics across scientific fields, highlighting the need to account for differences in citation practices, publication rates, and field-specific factors.
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Is there anything else I can help you with, my lady?</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</si>
  <si>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</si>
  <si>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The main challenges in normalizing citation metrics across scientific fields include accounting for differences in age (year of publication), type of document, database coverage, and other factors.
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I hope this response is helpful. If you have any further questions, please let me know.</t>
  </si>
  <si>
    <t>What methods are used to detect and correct errors in bibliographic datasets?</t>
  </si>
  <si>
    <t>[(0.73846215, '10.5281/ZENODO.13960973'), (0.31897336, '10.48550/arXiv.2303.17661'), (0.25660416, '10.1007/s11192-022-04367-w')]</t>
  </si>
  <si>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</si>
  <si>
    <t>Summary: There are several methods used to detect and correct errors in bibliographic datasets.
DOI: 10.5281/ZENODO.13960973 - A method to detect errors in a dataset using missing data patterns.
DOI: 10.48550/arXiv.2303.17661 - MetaEnhance, a framework that utilizes state-of-the-art artificial intelligence methods to improve the quality of metadata.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</si>
  <si>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A method to detect errors in a dataset using missing data patterns.
DOI: 10.48550/arXiv.2303.17661 - A framework that utilizes state-of-the-art artificial intelligence methods to improve the quality of metadata fields.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</si>
  <si>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Missing data patterns are used to detect errors in a dataset.
DOI: 10.48550/arXiv.2303.17661 - MetaEnhance is a framework that uses artificial intelligence methods to improve the quality of metadata fields.
DOI: 10.1007/s11192-022-04367-w - Regular expressions are used to identify and correct invalid citations due to DOI errors in Crossref data.
My lady, I hope this information is helpful. If you have any further questions, please let me know.</t>
  </si>
  <si>
    <t>tell me about how RAG works.</t>
  </si>
  <si>
    <t>[(0.6350646, '10.1007/978-3-031-88708-6_3'), (0.5265625, '10.48550/arXiv.2312.10997'), (0.50388235, '10.48550/arXiv.2505.18247'), (0.4896749, '10.48550/arXiv.2406.13213'), (0.32794857, '10.48550/arXiv.2404.13948')]</t>
  </si>
  <si>
    <t>Summary: Retrieval-Augmented Generation (RAG) is a framework for incorporating external knowledge into a large language model (LLM) to improve the performance of a downstream task.
DOI: 10.1007/978-3-031-88708-6_3
My lady, I have found some information about how RAG works.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
Is there anything else I can help you with?</t>
  </si>
  <si>
    <t>Summary: Retrieval-Augmented Generation (RAG) is a framework for incorporating external knowledge into Large Language Models (LLMs) to improve performance on downstream tasks.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DOI: 10.48550/arXiv.2406.13213
RAG enables retrieval of relevant information from an external knowledge source and allows large language models (LLMs) to answer queries over previously unseen document collections.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</si>
  <si>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Retrieval-Augmented Generation (RAG) is a framework for incorporating external knowledge into a large language model (LLM)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is there anything else I can help you with?</t>
  </si>
  <si>
    <t>Summary: Retrieval-Augmented Generation (RAG) is a framework that incorporates external knowledge to enhance the performance of downstream tasks in large language models (LLMs).
DOI: 10.1007/978-3-031-88708-6_3
RAG's objective is to maximise the total utility of retrieved documents, where utility refers to the improvement in downstream task performance when a document is included as additional contextual information in an LLM prompt.
DOI: 10.48550/arXiv.2312.10997
RAG addresses challenges in LLMs such as hallucination, outdated knowledge, and non-transparent reasoning by incorporating knowledge from external databases, thereby enhancing accuracy and credibility in knowledge-intensive tasks.
DOI: 10.48550/arXiv.2505.18247
RAG struggles with domain-specific datasets due to semantic variability, but MetaGen Blended RAG introduces a novel approach to enhance semantic retrievers, achieving high accuracy on specialised datasets without fine-tuning.
DOI: 10.48550/arXiv.2406.13213
RAG's traditional applications perform poorly on multi-hop questions, but Multi-Meta-RAG improves document selection using database filtering with LLM-extracted metadata, significantly enhancing performance on multi-hop queries.
DOI: 10.48550/arXiv.2404.13948
RAG's robustness is vulnerable to noisy documents and minor textual errors, as demonstrated by the Genetic Attack on RAG (GARAG), which highlights the risks of real-world database inaccuracies on RAG systems.
My lady, I hope this information is helpful. If you have any further questions, please let me know.</t>
  </si>
  <si>
    <t>Summary: Retrieval-Augmented Generation (RAG) is a framework that incorporates external knowledge to enhance the performance of large language models (LLMs) in downstream tasks, such as question answering.
DOI: 10.1007/978-3-031-88708-6_3: RAG aims to maximise the total utility of retrieved documents by including them as additional contextual information in LLM prompts, thereby improving downstream task performance.
DOI: 10.48550/arXiv.2312.10997 : RAG addresses challenges faced by LLMs, such as hallucination and outdated knowledge, by integrating external databases, thus enhancing accuracy and credibility.
DOI: 10.48550/arXiv.2505.18247 : RAG struggles with domain-specific datasets, but MetaGen Blended RAG offers a novel solution by enhancing semantic retrievers, achieving high accuracy on specialised datasets.
DOI: 10.48550/arXiv.2406.13213 : Multi-Meta-RAG improves RAG for multi-hop queries by using database filtering with LLM-extracted metadata, thereby enhancing document selection.
DOI: 10.48550/arXiv.2404.13948 : RAG's robustness is vulnerable to noisy documents, and the Genetic Attack on RAG (GARAG) method highlights these vulnerabilities, emphasising the need for robust RAG systems.
My lady, I hope this information is helpful. If you have any further questions, please let me know.</t>
  </si>
  <si>
    <t>Row Labels</t>
  </si>
  <si>
    <t>Grand Total</t>
  </si>
  <si>
    <t>Average of Faithfulness score</t>
  </si>
  <si>
    <t>Average of Balanced accuracy</t>
  </si>
  <si>
    <t>Average of Accuracy</t>
  </si>
  <si>
    <t>Average of F1-Score</t>
  </si>
  <si>
    <t>Average of Recall</t>
  </si>
  <si>
    <t>Average of Precision</t>
  </si>
  <si>
    <t xml:space="preserve"> 10.1162/qss_a_00286</t>
  </si>
  <si>
    <t xml:space="preserve"> 10.1007/s11192-022-04367-w</t>
  </si>
  <si>
    <t xml:space="preserve"> 10.48550/arXiv.2401.16359</t>
  </si>
  <si>
    <t xml:space="preserve"> 10.1162/qss_a_00022</t>
  </si>
  <si>
    <t xml:space="preserve"> 10.48550/arXiv.2409.10633</t>
  </si>
  <si>
    <t xml:space="preserve"> 10.31274/b8136f97.ccc3dae4</t>
  </si>
  <si>
    <t xml:space="preserve"> 10.48550/arXiv.2312.10997</t>
  </si>
  <si>
    <t xml:space="preserve"> 10.48550/arXiv.2404.17663</t>
  </si>
  <si>
    <t xml:space="preserve"> 10.1007/s11192-015-1765-5</t>
  </si>
  <si>
    <t xml:space="preserve"> 10.1007/978-3-031-88708-6_3</t>
  </si>
  <si>
    <t xml:space="preserve"> 10.5281/ZENODO.13960973</t>
  </si>
  <si>
    <t xml:space="preserve"> 10.48550/arXiv.2303.17661</t>
  </si>
  <si>
    <t xml:space="preserve"> 10.31222/osf.io/smxe5</t>
  </si>
  <si>
    <t xml:space="preserve"> 10.48550/arXiv.2410.04231</t>
  </si>
  <si>
    <t xml:space="preserve"> 10.1590/SciELOPreprints.11205</t>
  </si>
  <si>
    <t xml:space="preserve"> 10.1162/qss_a_00112</t>
  </si>
  <si>
    <t xml:space="preserve"> 10.6109/jkiice.2023.27.12.1489</t>
  </si>
  <si>
    <t xml:space="preserve"> 10.48550/arXiv.2505.18247</t>
  </si>
  <si>
    <t xml:space="preserve"> 10.48550/arXiv.2406.13213</t>
  </si>
  <si>
    <t xml:space="preserve"> 10.1162/qss_a_00210</t>
  </si>
  <si>
    <t xml:space="preserve"> 10.48550/arXiv.2502.03627</t>
  </si>
  <si>
    <t xml:space="preserve"> 10.48550/arXiv.2404.01985</t>
  </si>
  <si>
    <t xml:space="preserve"> 10.3145/epi.2023.mar.09</t>
  </si>
  <si>
    <t xml:space="preserve"> 10.1162/qss_a_00212</t>
  </si>
  <si>
    <t xml:space="preserve"> 10.1609/aaai.v38i16.29728</t>
  </si>
  <si>
    <t xml:space="preserve"> 10.1109/ACCESS.2024.3395449</t>
  </si>
  <si>
    <t xml:space="preserve"> 10.1371/journal.pbio.1002542</t>
  </si>
  <si>
    <t xml:space="preserve"> 10.48550/arXiv.2404.13948</t>
  </si>
  <si>
    <t xml:space="preserve"> 10.1002/leap.1411</t>
  </si>
  <si>
    <t xml:space="preserve"> 10.48550/arXiv.2406.15154</t>
  </si>
  <si>
    <t>DOI</t>
  </si>
  <si>
    <t>Average of Documents score:data</t>
  </si>
  <si>
    <t>Average of Documents score:data_jats</t>
  </si>
  <si>
    <t>Average of Documents score:data_multi_lang</t>
  </si>
  <si>
    <t>StdDev of Documents score</t>
  </si>
  <si>
    <t>Max of Documents score</t>
  </si>
  <si>
    <t>Min of Documents score</t>
  </si>
  <si>
    <t>(blank)</t>
  </si>
  <si>
    <t>Min of Precision</t>
  </si>
  <si>
    <t>Max of Precision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</si>
</sst>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1" formatCode="0.0000"/>
    <numFmt numFmtId="172" formatCode="0.000"/>
    <numFmt numFmtId="173" formatCode="0.0"/>
  </numFmts>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2" borderId="2" xfId="0" applyFont="1" applyFill="1" applyBorder="1"/>
    <xf numFmtId="171" fontId="0" fillId="0" borderId="0" xfId="0" applyNumberFormat="1"/>
    <xf numFmtId="172" fontId="0" fillId="0" borderId="0" xfId="0" applyNumberFormat="1"/>
    <xf numFmtId="173" fontId="0" fillId="0" borderId="0" xfId="0" applyNumberFormat="1"/>
    <xf numFmtId="171" fontId="2" fillId="0" borderId="0" xfId="0" applyNumberFormat="1" applyFont="1"/>
  </cellXfs>
  <cellStyles count="1">
    <cellStyle name="Normal" xfId="0" builtinId="0"/>
  </cellStyles>
  <dxfs count="5">
    <dxf>
      <numFmt numFmtId="171" formatCode="0.0000"/>
    </dxf>
    <dxf>
      <numFmt numFmtId="171" formatCode="0.0000"/>
    </dxf>
    <dxf>
      <numFmt numFmtId="173" formatCode="0.0"/>
    </dxf>
    <dxf>
      <numFmt numFmtId="172" formatCode="0.000"/>
    </dxf>
    <dxf>
      <numFmt numFmtId="165" formatCode="0.000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document scores organized by DOI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'avg doc score'!$E$36</c:f>
              <c:strCache>
                <c:ptCount val="1"/>
                <c:pt idx="0">
                  <c:v>Average of Documents score:data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'avg doc score'!$D$37:$D$66</c:f>
              <c:strCache>
                <c:ptCount val="30"/>
                <c:pt idx="0">
                  <c:v> 10.1002/leap.1411</c:v>
                </c:pt>
                <c:pt idx="1">
                  <c:v> 10.1007/978-3-031-88708-6_3</c:v>
                </c:pt>
                <c:pt idx="2">
                  <c:v> 10.1007/s11192-015-1765-5</c:v>
                </c:pt>
                <c:pt idx="3">
                  <c:v> 10.1007/s11192-022-04367-w</c:v>
                </c:pt>
                <c:pt idx="4">
                  <c:v> 10.1109/ACCESS.2024.3395449</c:v>
                </c:pt>
                <c:pt idx="5">
                  <c:v> 10.1162/qss_a_00022</c:v>
                </c:pt>
                <c:pt idx="6">
                  <c:v> 10.1162/qss_a_00112</c:v>
                </c:pt>
                <c:pt idx="7">
                  <c:v> 10.1162/qss_a_00210</c:v>
                </c:pt>
                <c:pt idx="8">
                  <c:v> 10.1162/qss_a_00212</c:v>
                </c:pt>
                <c:pt idx="9">
                  <c:v> 10.1162/qss_a_00286</c:v>
                </c:pt>
                <c:pt idx="10">
                  <c:v> 10.1371/journal.pbio.1002542</c:v>
                </c:pt>
                <c:pt idx="11">
                  <c:v> 10.1590/SciELOPreprints.11205</c:v>
                </c:pt>
                <c:pt idx="12">
                  <c:v> 10.1609/aaai.v38i16.29728</c:v>
                </c:pt>
                <c:pt idx="13">
                  <c:v> 10.31222/osf.io/smxe5</c:v>
                </c:pt>
                <c:pt idx="14">
                  <c:v> 10.31274/b8136f97.ccc3dae4</c:v>
                </c:pt>
                <c:pt idx="15">
                  <c:v> 10.3145/epi.2023.mar.09</c:v>
                </c:pt>
                <c:pt idx="16">
                  <c:v> 10.48550/arXiv.2303.17661</c:v>
                </c:pt>
                <c:pt idx="17">
                  <c:v> 10.48550/arXiv.2312.10997</c:v>
                </c:pt>
                <c:pt idx="18">
                  <c:v> 10.48550/arXiv.2401.16359</c:v>
                </c:pt>
                <c:pt idx="19">
                  <c:v> 10.48550/arXiv.2404.01985</c:v>
                </c:pt>
                <c:pt idx="20">
                  <c:v> 10.48550/arXiv.2404.13948</c:v>
                </c:pt>
                <c:pt idx="21">
                  <c:v> 10.48550/arXiv.2404.17663</c:v>
                </c:pt>
                <c:pt idx="22">
                  <c:v> 10.48550/arXiv.2406.13213</c:v>
                </c:pt>
                <c:pt idx="23">
                  <c:v> 10.48550/arXiv.2406.15154</c:v>
                </c:pt>
                <c:pt idx="24">
                  <c:v> 10.48550/arXiv.2409.10633</c:v>
                </c:pt>
                <c:pt idx="25">
                  <c:v> 10.48550/arXiv.2410.04231</c:v>
                </c:pt>
                <c:pt idx="26">
                  <c:v> 10.48550/arXiv.2502.03627</c:v>
                </c:pt>
                <c:pt idx="27">
                  <c:v> 10.48550/arXiv.2505.18247</c:v>
                </c:pt>
                <c:pt idx="28">
                  <c:v> 10.5281/ZENODO.13960973</c:v>
                </c:pt>
                <c:pt idx="29">
                  <c:v> 10.6109/jkiice.2023.27.12.1489</c:v>
                </c:pt>
              </c:strCache>
            </c:strRef>
          </c:cat>
          <c:val>
            <c:numRef>
              <c:f>'avg doc score'!$E$37:$E$66</c:f>
              <c:numCache>
                <c:formatCode>General</c:formatCode>
                <c:ptCount val="30"/>
                <c:pt idx="0">
                  <c:v>0.10837587200000001</c:v>
                </c:pt>
                <c:pt idx="1">
                  <c:v>0.72708189999999984</c:v>
                </c:pt>
                <c:pt idx="2">
                  <c:v>0.29333935500000002</c:v>
                </c:pt>
                <c:pt idx="3">
                  <c:v>0.23333798466666669</c:v>
                </c:pt>
                <c:pt idx="4">
                  <c:v>0.71568290000000001</c:v>
                </c:pt>
                <c:pt idx="5">
                  <c:v>0.85234225900000005</c:v>
                </c:pt>
                <c:pt idx="6">
                  <c:v>0.24761215</c:v>
                </c:pt>
                <c:pt idx="7">
                  <c:v>0.36283834733333331</c:v>
                </c:pt>
                <c:pt idx="8">
                  <c:v>0.51720569999999999</c:v>
                </c:pt>
                <c:pt idx="9">
                  <c:v>0.42048184333333333</c:v>
                </c:pt>
                <c:pt idx="10">
                  <c:v>0.93694024999999992</c:v>
                </c:pt>
                <c:pt idx="11">
                  <c:v>0.54044422000000003</c:v>
                </c:pt>
                <c:pt idx="12">
                  <c:v>0.85363259999999985</c:v>
                </c:pt>
                <c:pt idx="13">
                  <c:v>0.46963706599999994</c:v>
                </c:pt>
                <c:pt idx="14">
                  <c:v>0.3752652700000001</c:v>
                </c:pt>
                <c:pt idx="15">
                  <c:v>0.52327754000000004</c:v>
                </c:pt>
                <c:pt idx="16">
                  <c:v>0.32524477800000007</c:v>
                </c:pt>
                <c:pt idx="17">
                  <c:v>0.7187802499999999</c:v>
                </c:pt>
                <c:pt idx="18">
                  <c:v>0.49310513333333322</c:v>
                </c:pt>
                <c:pt idx="19">
                  <c:v>0.17677137000000001</c:v>
                </c:pt>
                <c:pt idx="20">
                  <c:v>0.52897513499999993</c:v>
                </c:pt>
                <c:pt idx="21">
                  <c:v>0.56059696999999986</c:v>
                </c:pt>
                <c:pt idx="22">
                  <c:v>0.68761579999999978</c:v>
                </c:pt>
                <c:pt idx="23">
                  <c:v>0.47241633999999999</c:v>
                </c:pt>
                <c:pt idx="24">
                  <c:v>0.5862057850000002</c:v>
                </c:pt>
                <c:pt idx="25">
                  <c:v>0.86136365000000004</c:v>
                </c:pt>
                <c:pt idx="26">
                  <c:v>0.30744355666666667</c:v>
                </c:pt>
                <c:pt idx="27">
                  <c:v>0.54412447500000005</c:v>
                </c:pt>
                <c:pt idx="28">
                  <c:v>0.73846215000000004</c:v>
                </c:pt>
                <c:pt idx="29">
                  <c:v>0.76826452999999995</c:v>
                </c:pt>
              </c:numCache>
            </c:numRef>
          </c:val>
          <c:smooth val="0"/>
          <c:extLst>
            <c:ext xmlns:c16="http://schemas.microsoft.com/office/drawing/2014/chart" uri="{C3380CC4-5D6E-409C-BE32-E72D297353CC}">
              <c16:uniqueId val="{00000000-B0E9-6448-A409-08BB484F91E5}"/>
            </c:ext>
          </c:extLst>
        </c:ser>
        <c:ser>
          <c:idx val="1"/>
          <c:order val="1"/>
          <c:tx>
            <c:strRef>
              <c:f>'avg doc score'!$F$36</c:f>
              <c:strCache>
                <c:ptCount val="1"/>
                <c:pt idx="0">
                  <c:v>Average of Documents score:data_jats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'avg doc score'!$D$37:$D$66</c:f>
              <c:strCache>
                <c:ptCount val="30"/>
                <c:pt idx="0">
                  <c:v> 10.1002/leap.1411</c:v>
                </c:pt>
                <c:pt idx="1">
                  <c:v> 10.1007/978-3-031-88708-6_3</c:v>
                </c:pt>
                <c:pt idx="2">
                  <c:v> 10.1007/s11192-015-1765-5</c:v>
                </c:pt>
                <c:pt idx="3">
                  <c:v> 10.1007/s11192-022-04367-w</c:v>
                </c:pt>
                <c:pt idx="4">
                  <c:v> 10.1109/ACCESS.2024.3395449</c:v>
                </c:pt>
                <c:pt idx="5">
                  <c:v> 10.1162/qss_a_00022</c:v>
                </c:pt>
                <c:pt idx="6">
                  <c:v> 10.1162/qss_a_00112</c:v>
                </c:pt>
                <c:pt idx="7">
                  <c:v> 10.1162/qss_a_00210</c:v>
                </c:pt>
                <c:pt idx="8">
                  <c:v> 10.1162/qss_a_00212</c:v>
                </c:pt>
                <c:pt idx="9">
                  <c:v> 10.1162/qss_a_00286</c:v>
                </c:pt>
                <c:pt idx="10">
                  <c:v> 10.1371/journal.pbio.1002542</c:v>
                </c:pt>
                <c:pt idx="11">
                  <c:v> 10.1590/SciELOPreprints.11205</c:v>
                </c:pt>
                <c:pt idx="12">
                  <c:v> 10.1609/aaai.v38i16.29728</c:v>
                </c:pt>
                <c:pt idx="13">
                  <c:v> 10.31222/osf.io/smxe5</c:v>
                </c:pt>
                <c:pt idx="14">
                  <c:v> 10.31274/b8136f97.ccc3dae4</c:v>
                </c:pt>
                <c:pt idx="15">
                  <c:v> 10.3145/epi.2023.mar.09</c:v>
                </c:pt>
                <c:pt idx="16">
                  <c:v> 10.48550/arXiv.2303.17661</c:v>
                </c:pt>
                <c:pt idx="17">
                  <c:v> 10.48550/arXiv.2312.10997</c:v>
                </c:pt>
                <c:pt idx="18">
                  <c:v> 10.48550/arXiv.2401.16359</c:v>
                </c:pt>
                <c:pt idx="19">
                  <c:v> 10.48550/arXiv.2404.01985</c:v>
                </c:pt>
                <c:pt idx="20">
                  <c:v> 10.48550/arXiv.2404.13948</c:v>
                </c:pt>
                <c:pt idx="21">
                  <c:v> 10.48550/arXiv.2404.17663</c:v>
                </c:pt>
                <c:pt idx="22">
                  <c:v> 10.48550/arXiv.2406.13213</c:v>
                </c:pt>
                <c:pt idx="23">
                  <c:v> 10.48550/arXiv.2406.15154</c:v>
                </c:pt>
                <c:pt idx="24">
                  <c:v> 10.48550/arXiv.2409.10633</c:v>
                </c:pt>
                <c:pt idx="25">
                  <c:v> 10.48550/arXiv.2410.04231</c:v>
                </c:pt>
                <c:pt idx="26">
                  <c:v> 10.48550/arXiv.2502.03627</c:v>
                </c:pt>
                <c:pt idx="27">
                  <c:v> 10.48550/arXiv.2505.18247</c:v>
                </c:pt>
                <c:pt idx="28">
                  <c:v> 10.5281/ZENODO.13960973</c:v>
                </c:pt>
                <c:pt idx="29">
                  <c:v> 10.6109/jkiice.2023.27.12.1489</c:v>
                </c:pt>
              </c:strCache>
            </c:strRef>
          </c:cat>
          <c:val>
            <c:numRef>
              <c:f>'avg doc score'!$F$37:$F$66</c:f>
              <c:numCache>
                <c:formatCode>General</c:formatCode>
                <c:ptCount val="30"/>
                <c:pt idx="0">
                  <c:v>0</c:v>
                </c:pt>
                <c:pt idx="1">
                  <c:v>0.72877930000000013</c:v>
                </c:pt>
                <c:pt idx="2">
                  <c:v>0.29217876000000009</c:v>
                </c:pt>
                <c:pt idx="3">
                  <c:v>0.22407173133333333</c:v>
                </c:pt>
                <c:pt idx="4">
                  <c:v>0.70774870000000001</c:v>
                </c:pt>
                <c:pt idx="5">
                  <c:v>0.85973333000000007</c:v>
                </c:pt>
                <c:pt idx="6">
                  <c:v>0.22315101999999998</c:v>
                </c:pt>
                <c:pt idx="7">
                  <c:v>0.33245617249999998</c:v>
                </c:pt>
                <c:pt idx="8">
                  <c:v>0.52480930000000003</c:v>
                </c:pt>
                <c:pt idx="9">
                  <c:v>0.35937489250000004</c:v>
                </c:pt>
                <c:pt idx="10">
                  <c:v>0.93206495</c:v>
                </c:pt>
                <c:pt idx="11">
                  <c:v>0</c:v>
                </c:pt>
                <c:pt idx="12">
                  <c:v>0.84493459999999998</c:v>
                </c:pt>
                <c:pt idx="13">
                  <c:v>0.4636132</c:v>
                </c:pt>
                <c:pt idx="14">
                  <c:v>0.38487724333333334</c:v>
                </c:pt>
                <c:pt idx="15">
                  <c:v>0.54014781090909103</c:v>
                </c:pt>
                <c:pt idx="16">
                  <c:v>0.30259760000000002</c:v>
                </c:pt>
                <c:pt idx="17">
                  <c:v>0.90672759999999997</c:v>
                </c:pt>
                <c:pt idx="18">
                  <c:v>0.50902492187500004</c:v>
                </c:pt>
                <c:pt idx="19">
                  <c:v>0.17389092</c:v>
                </c:pt>
                <c:pt idx="20">
                  <c:v>0.52498712999999997</c:v>
                </c:pt>
                <c:pt idx="21">
                  <c:v>0.57721637500000011</c:v>
                </c:pt>
                <c:pt idx="22">
                  <c:v>0.68999980666666683</c:v>
                </c:pt>
                <c:pt idx="23">
                  <c:v>0.31280202500000009</c:v>
                </c:pt>
                <c:pt idx="24">
                  <c:v>0.60809920904761883</c:v>
                </c:pt>
                <c:pt idx="25">
                  <c:v>0.86275720000000011</c:v>
                </c:pt>
                <c:pt idx="26">
                  <c:v>0</c:v>
                </c:pt>
                <c:pt idx="27">
                  <c:v>0.54474180999999999</c:v>
                </c:pt>
                <c:pt idx="28">
                  <c:v>0.72207695000000005</c:v>
                </c:pt>
                <c:pt idx="29">
                  <c:v>0.5468963</c:v>
                </c:pt>
              </c:numCache>
            </c:numRef>
          </c:val>
          <c:smooth val="0"/>
          <c:extLst>
            <c:ext xmlns:c16="http://schemas.microsoft.com/office/drawing/2014/chart" uri="{C3380CC4-5D6E-409C-BE32-E72D297353CC}">
              <c16:uniqueId val="{00000001-B0E9-6448-A409-08BB484F91E5}"/>
            </c:ext>
          </c:extLst>
        </c:ser>
        <c:ser>
          <c:idx val="2"/>
          <c:order val="2"/>
          <c:tx>
            <c:strRef>
              <c:f>'avg doc score'!$G$36</c:f>
              <c:strCache>
                <c:ptCount val="1"/>
                <c:pt idx="0">
                  <c:v>Average of Documents score:data_multi_lang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'avg doc score'!$D$37:$D$66</c:f>
              <c:strCache>
                <c:ptCount val="30"/>
                <c:pt idx="0">
                  <c:v> 10.1002/leap.1411</c:v>
                </c:pt>
                <c:pt idx="1">
                  <c:v> 10.1007/978-3-031-88708-6_3</c:v>
                </c:pt>
                <c:pt idx="2">
                  <c:v> 10.1007/s11192-015-1765-5</c:v>
                </c:pt>
                <c:pt idx="3">
                  <c:v> 10.1007/s11192-022-04367-w</c:v>
                </c:pt>
                <c:pt idx="4">
                  <c:v> 10.1109/ACCESS.2024.3395449</c:v>
                </c:pt>
                <c:pt idx="5">
                  <c:v> 10.1162/qss_a_00022</c:v>
                </c:pt>
                <c:pt idx="6">
                  <c:v> 10.1162/qss_a_00112</c:v>
                </c:pt>
                <c:pt idx="7">
                  <c:v> 10.1162/qss_a_00210</c:v>
                </c:pt>
                <c:pt idx="8">
                  <c:v> 10.1162/qss_a_00212</c:v>
                </c:pt>
                <c:pt idx="9">
                  <c:v> 10.1162/qss_a_00286</c:v>
                </c:pt>
                <c:pt idx="10">
                  <c:v> 10.1371/journal.pbio.1002542</c:v>
                </c:pt>
                <c:pt idx="11">
                  <c:v> 10.1590/SciELOPreprints.11205</c:v>
                </c:pt>
                <c:pt idx="12">
                  <c:v> 10.1609/aaai.v38i16.29728</c:v>
                </c:pt>
                <c:pt idx="13">
                  <c:v> 10.31222/osf.io/smxe5</c:v>
                </c:pt>
                <c:pt idx="14">
                  <c:v> 10.31274/b8136f97.ccc3dae4</c:v>
                </c:pt>
                <c:pt idx="15">
                  <c:v> 10.3145/epi.2023.mar.09</c:v>
                </c:pt>
                <c:pt idx="16">
                  <c:v> 10.48550/arXiv.2303.17661</c:v>
                </c:pt>
                <c:pt idx="17">
                  <c:v> 10.48550/arXiv.2312.10997</c:v>
                </c:pt>
                <c:pt idx="18">
                  <c:v> 10.48550/arXiv.2401.16359</c:v>
                </c:pt>
                <c:pt idx="19">
                  <c:v> 10.48550/arXiv.2404.01985</c:v>
                </c:pt>
                <c:pt idx="20">
                  <c:v> 10.48550/arXiv.2404.13948</c:v>
                </c:pt>
                <c:pt idx="21">
                  <c:v> 10.48550/arXiv.2404.17663</c:v>
                </c:pt>
                <c:pt idx="22">
                  <c:v> 10.48550/arXiv.2406.13213</c:v>
                </c:pt>
                <c:pt idx="23">
                  <c:v> 10.48550/arXiv.2406.15154</c:v>
                </c:pt>
                <c:pt idx="24">
                  <c:v> 10.48550/arXiv.2409.10633</c:v>
                </c:pt>
                <c:pt idx="25">
                  <c:v> 10.48550/arXiv.2410.04231</c:v>
                </c:pt>
                <c:pt idx="26">
                  <c:v> 10.48550/arXiv.2502.03627</c:v>
                </c:pt>
                <c:pt idx="27">
                  <c:v> 10.48550/arXiv.2505.18247</c:v>
                </c:pt>
                <c:pt idx="28">
                  <c:v> 10.5281/ZENODO.13960973</c:v>
                </c:pt>
                <c:pt idx="29">
                  <c:v> 10.6109/jkiice.2023.27.12.1489</c:v>
                </c:pt>
              </c:strCache>
            </c:strRef>
          </c:cat>
          <c:val>
            <c:numRef>
              <c:f>'avg doc score'!$G$37:$G$66</c:f>
              <c:numCache>
                <c:formatCode>General</c:formatCode>
                <c:ptCount val="30"/>
                <c:pt idx="0">
                  <c:v>0.14053692000000001</c:v>
                </c:pt>
                <c:pt idx="1">
                  <c:v>0.73398845000000013</c:v>
                </c:pt>
                <c:pt idx="2">
                  <c:v>0.40059755499999994</c:v>
                </c:pt>
                <c:pt idx="3">
                  <c:v>0.2380918345000001</c:v>
                </c:pt>
                <c:pt idx="4">
                  <c:v>0</c:v>
                </c:pt>
                <c:pt idx="5">
                  <c:v>0.8639597349999999</c:v>
                </c:pt>
                <c:pt idx="6">
                  <c:v>0.24088813749999999</c:v>
                </c:pt>
                <c:pt idx="7">
                  <c:v>0.60251958000000017</c:v>
                </c:pt>
                <c:pt idx="8">
                  <c:v>0.39641916999999999</c:v>
                </c:pt>
                <c:pt idx="9">
                  <c:v>0.44670673666666671</c:v>
                </c:pt>
                <c:pt idx="10">
                  <c:v>0.52339156499999984</c:v>
                </c:pt>
                <c:pt idx="11">
                  <c:v>0</c:v>
                </c:pt>
                <c:pt idx="12">
                  <c:v>0.89763280000000001</c:v>
                </c:pt>
                <c:pt idx="13">
                  <c:v>0.40011453249999995</c:v>
                </c:pt>
                <c:pt idx="14">
                  <c:v>0.37355851499999998</c:v>
                </c:pt>
                <c:pt idx="15">
                  <c:v>0.50971825733333342</c:v>
                </c:pt>
                <c:pt idx="16">
                  <c:v>0.33921495000000002</c:v>
                </c:pt>
                <c:pt idx="17">
                  <c:v>0.63463328333333313</c:v>
                </c:pt>
                <c:pt idx="18">
                  <c:v>0.50976659499999999</c:v>
                </c:pt>
                <c:pt idx="19">
                  <c:v>0.15831774000000001</c:v>
                </c:pt>
                <c:pt idx="20">
                  <c:v>0.59891786999999996</c:v>
                </c:pt>
                <c:pt idx="21">
                  <c:v>0.62186232499999983</c:v>
                </c:pt>
                <c:pt idx="22">
                  <c:v>0.66593574999999994</c:v>
                </c:pt>
                <c:pt idx="23">
                  <c:v>0.63443416599999991</c:v>
                </c:pt>
                <c:pt idx="24">
                  <c:v>0.71322715500000045</c:v>
                </c:pt>
                <c:pt idx="25">
                  <c:v>0.88611550000000006</c:v>
                </c:pt>
                <c:pt idx="26">
                  <c:v>0</c:v>
                </c:pt>
                <c:pt idx="27">
                  <c:v>0.51829862500000012</c:v>
                </c:pt>
                <c:pt idx="28">
                  <c:v>0.74895920000000005</c:v>
                </c:pt>
                <c:pt idx="29">
                  <c:v>0.75809943999999996</c:v>
                </c:pt>
              </c:numCache>
            </c:numRef>
          </c:val>
          <c:smooth val="0"/>
          <c:extLst>
            <c:ext xmlns:c16="http://schemas.microsoft.com/office/drawing/2014/chart" uri="{C3380CC4-5D6E-409C-BE32-E72D297353CC}">
              <c16:uniqueId val="{00000002-B0E9-6448-A409-08BB484F91E5}"/>
            </c:ext>
          </c:extLst>
        </c:ser>
        <c:dLbls>
          <c:showLegendKey val="0"/>
          <c:showVal val="0"/>
          <c:showCatName val="0"/>
          <c:showSerName val="0"/>
          <c:showPercent val="0"/>
          <c:showBubbleSize val="0"/>
        </c:dLbls>
        <c:marker val="1"/>
        <c:smooth val="0"/>
        <c:axId val="1273507343"/>
        <c:axId val="1273509055"/>
      </c:lineChart>
      <c:catAx>
        <c:axId val="127350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09055"/>
        <c:crosses val="autoZero"/>
        <c:auto val="1"/>
        <c:lblAlgn val="ctr"/>
        <c:lblOffset val="100"/>
        <c:noMultiLvlLbl val="0"/>
      </c:catAx>
      <c:valAx>
        <c:axId val="127350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0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Document</a:t>
            </a:r>
            <a:r>
              <a:rPr lang="en-US" baseline="0"/>
              <a:t> scores sorted by ascending values from the clean dataset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'avg doc score'!$E$71</c:f>
              <c:strCache>
                <c:ptCount val="1"/>
                <c:pt idx="0">
                  <c:v>Average of Documents score:data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'avg doc score'!$D$72:$D$101</c:f>
              <c:strCache>
                <c:ptCount val="30"/>
                <c:pt idx="0">
                  <c:v> 10.1002/leap.1411</c:v>
                </c:pt>
                <c:pt idx="1">
                  <c:v> 10.48550/arXiv.2404.01985</c:v>
                </c:pt>
                <c:pt idx="2">
                  <c:v> 10.1007/s11192-022-04367-w</c:v>
                </c:pt>
                <c:pt idx="3">
                  <c:v> 10.1162/qss_a_00112</c:v>
                </c:pt>
                <c:pt idx="4">
                  <c:v> 10.1007/s11192-015-1765-5</c:v>
                </c:pt>
                <c:pt idx="5">
                  <c:v> 10.48550/arXiv.2502.03627</c:v>
                </c:pt>
                <c:pt idx="6">
                  <c:v> 10.48550/arXiv.2303.17661</c:v>
                </c:pt>
                <c:pt idx="7">
                  <c:v> 10.1162/qss_a_00210</c:v>
                </c:pt>
                <c:pt idx="8">
                  <c:v> 10.31274/b8136f97.ccc3dae4</c:v>
                </c:pt>
                <c:pt idx="9">
                  <c:v> 10.1162/qss_a_00286</c:v>
                </c:pt>
                <c:pt idx="10">
                  <c:v> 10.31222/osf.io/smxe5</c:v>
                </c:pt>
                <c:pt idx="11">
                  <c:v> 10.48550/arXiv.2406.15154</c:v>
                </c:pt>
                <c:pt idx="12">
                  <c:v> 10.48550/arXiv.2401.16359</c:v>
                </c:pt>
                <c:pt idx="13">
                  <c:v> 10.1162/qss_a_00212</c:v>
                </c:pt>
                <c:pt idx="14">
                  <c:v> 10.3145/epi.2023.mar.09</c:v>
                </c:pt>
                <c:pt idx="15">
                  <c:v> 10.48550/arXiv.2404.13948</c:v>
                </c:pt>
                <c:pt idx="16">
                  <c:v> 10.1590/SciELOPreprints.11205</c:v>
                </c:pt>
                <c:pt idx="17">
                  <c:v> 10.48550/arXiv.2505.18247</c:v>
                </c:pt>
                <c:pt idx="18">
                  <c:v> 10.48550/arXiv.2404.17663</c:v>
                </c:pt>
                <c:pt idx="19">
                  <c:v> 10.48550/arXiv.2409.10633</c:v>
                </c:pt>
                <c:pt idx="20">
                  <c:v> 10.48550/arXiv.2406.13213</c:v>
                </c:pt>
                <c:pt idx="21">
                  <c:v> 10.1109/ACCESS.2024.3395449</c:v>
                </c:pt>
                <c:pt idx="22">
                  <c:v> 10.48550/arXiv.2312.10997</c:v>
                </c:pt>
                <c:pt idx="23">
                  <c:v> 10.1007/978-3-031-88708-6_3</c:v>
                </c:pt>
                <c:pt idx="24">
                  <c:v> 10.5281/ZENODO.13960973</c:v>
                </c:pt>
                <c:pt idx="25">
                  <c:v> 10.6109/jkiice.2023.27.12.1489</c:v>
                </c:pt>
                <c:pt idx="26">
                  <c:v> 10.1162/qss_a_00022</c:v>
                </c:pt>
                <c:pt idx="27">
                  <c:v> 10.1609/aaai.v38i16.29728</c:v>
                </c:pt>
                <c:pt idx="28">
                  <c:v> 10.48550/arXiv.2410.04231</c:v>
                </c:pt>
                <c:pt idx="29">
                  <c:v> 10.1371/journal.pbio.1002542</c:v>
                </c:pt>
              </c:strCache>
            </c:strRef>
          </c:cat>
          <c:val>
            <c:numRef>
              <c:f>'avg doc score'!$E$72:$E$101</c:f>
              <c:numCache>
                <c:formatCode>General</c:formatCode>
                <c:ptCount val="30"/>
                <c:pt idx="0">
                  <c:v>0.10837587200000001</c:v>
                </c:pt>
                <c:pt idx="1">
                  <c:v>0.17677137000000001</c:v>
                </c:pt>
                <c:pt idx="2">
                  <c:v>0.23333798466666669</c:v>
                </c:pt>
                <c:pt idx="3">
                  <c:v>0.24761215</c:v>
                </c:pt>
                <c:pt idx="4">
                  <c:v>0.29333935500000002</c:v>
                </c:pt>
                <c:pt idx="5">
                  <c:v>0.30744355666666667</c:v>
                </c:pt>
                <c:pt idx="6">
                  <c:v>0.32524477800000007</c:v>
                </c:pt>
                <c:pt idx="7">
                  <c:v>0.36283834733333331</c:v>
                </c:pt>
                <c:pt idx="8">
                  <c:v>0.3752652700000001</c:v>
                </c:pt>
                <c:pt idx="9">
                  <c:v>0.42048184333333333</c:v>
                </c:pt>
                <c:pt idx="10">
                  <c:v>0.46963706599999994</c:v>
                </c:pt>
                <c:pt idx="11">
                  <c:v>0.47241633999999999</c:v>
                </c:pt>
                <c:pt idx="12">
                  <c:v>0.49310513333333322</c:v>
                </c:pt>
                <c:pt idx="13">
                  <c:v>0.51720569999999999</c:v>
                </c:pt>
                <c:pt idx="14">
                  <c:v>0.52327754000000004</c:v>
                </c:pt>
                <c:pt idx="15">
                  <c:v>0.52897513499999993</c:v>
                </c:pt>
                <c:pt idx="16">
                  <c:v>0.54044422000000003</c:v>
                </c:pt>
                <c:pt idx="17">
                  <c:v>0.54412447500000005</c:v>
                </c:pt>
                <c:pt idx="18">
                  <c:v>0.56059696999999986</c:v>
                </c:pt>
                <c:pt idx="19">
                  <c:v>0.5862057850000002</c:v>
                </c:pt>
                <c:pt idx="20">
                  <c:v>0.68761579999999978</c:v>
                </c:pt>
                <c:pt idx="21">
                  <c:v>0.71568290000000001</c:v>
                </c:pt>
                <c:pt idx="22">
                  <c:v>0.7187802499999999</c:v>
                </c:pt>
                <c:pt idx="23">
                  <c:v>0.72708189999999984</c:v>
                </c:pt>
                <c:pt idx="24">
                  <c:v>0.73846215000000004</c:v>
                </c:pt>
                <c:pt idx="25">
                  <c:v>0.76826452999999995</c:v>
                </c:pt>
                <c:pt idx="26">
                  <c:v>0.85234225900000005</c:v>
                </c:pt>
                <c:pt idx="27">
                  <c:v>0.85363259999999985</c:v>
                </c:pt>
                <c:pt idx="28">
                  <c:v>0.86136365000000004</c:v>
                </c:pt>
                <c:pt idx="29">
                  <c:v>0.93694024999999992</c:v>
                </c:pt>
              </c:numCache>
            </c:numRef>
          </c:val>
          <c:smooth val="0"/>
          <c:extLst>
            <c:ext xmlns:c16="http://schemas.microsoft.com/office/drawing/2014/chart" uri="{C3380CC4-5D6E-409C-BE32-E72D297353CC}">
              <c16:uniqueId val="{00000000-4186-D24A-BA7C-9C3D226507D1}"/>
            </c:ext>
          </c:extLst>
        </c:ser>
        <c:ser>
          <c:idx val="1"/>
          <c:order val="1"/>
          <c:tx>
            <c:strRef>
              <c:f>'avg doc score'!$F$71</c:f>
              <c:strCache>
                <c:ptCount val="1"/>
                <c:pt idx="0">
                  <c:v>Average of Documents score:data_jats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'avg doc score'!$D$72:$D$101</c:f>
              <c:strCache>
                <c:ptCount val="30"/>
                <c:pt idx="0">
                  <c:v> 10.1002/leap.1411</c:v>
                </c:pt>
                <c:pt idx="1">
                  <c:v> 10.48550/arXiv.2404.01985</c:v>
                </c:pt>
                <c:pt idx="2">
                  <c:v> 10.1007/s11192-022-04367-w</c:v>
                </c:pt>
                <c:pt idx="3">
                  <c:v> 10.1162/qss_a_00112</c:v>
                </c:pt>
                <c:pt idx="4">
                  <c:v> 10.1007/s11192-015-1765-5</c:v>
                </c:pt>
                <c:pt idx="5">
                  <c:v> 10.48550/arXiv.2502.03627</c:v>
                </c:pt>
                <c:pt idx="6">
                  <c:v> 10.48550/arXiv.2303.17661</c:v>
                </c:pt>
                <c:pt idx="7">
                  <c:v> 10.1162/qss_a_00210</c:v>
                </c:pt>
                <c:pt idx="8">
                  <c:v> 10.31274/b8136f97.ccc3dae4</c:v>
                </c:pt>
                <c:pt idx="9">
                  <c:v> 10.1162/qss_a_00286</c:v>
                </c:pt>
                <c:pt idx="10">
                  <c:v> 10.31222/osf.io/smxe5</c:v>
                </c:pt>
                <c:pt idx="11">
                  <c:v> 10.48550/arXiv.2406.15154</c:v>
                </c:pt>
                <c:pt idx="12">
                  <c:v> 10.48550/arXiv.2401.16359</c:v>
                </c:pt>
                <c:pt idx="13">
                  <c:v> 10.1162/qss_a_00212</c:v>
                </c:pt>
                <c:pt idx="14">
                  <c:v> 10.3145/epi.2023.mar.09</c:v>
                </c:pt>
                <c:pt idx="15">
                  <c:v> 10.48550/arXiv.2404.13948</c:v>
                </c:pt>
                <c:pt idx="16">
                  <c:v> 10.1590/SciELOPreprints.11205</c:v>
                </c:pt>
                <c:pt idx="17">
                  <c:v> 10.48550/arXiv.2505.18247</c:v>
                </c:pt>
                <c:pt idx="18">
                  <c:v> 10.48550/arXiv.2404.17663</c:v>
                </c:pt>
                <c:pt idx="19">
                  <c:v> 10.48550/arXiv.2409.10633</c:v>
                </c:pt>
                <c:pt idx="20">
                  <c:v> 10.48550/arXiv.2406.13213</c:v>
                </c:pt>
                <c:pt idx="21">
                  <c:v> 10.1109/ACCESS.2024.3395449</c:v>
                </c:pt>
                <c:pt idx="22">
                  <c:v> 10.48550/arXiv.2312.10997</c:v>
                </c:pt>
                <c:pt idx="23">
                  <c:v> 10.1007/978-3-031-88708-6_3</c:v>
                </c:pt>
                <c:pt idx="24">
                  <c:v> 10.5281/ZENODO.13960973</c:v>
                </c:pt>
                <c:pt idx="25">
                  <c:v> 10.6109/jkiice.2023.27.12.1489</c:v>
                </c:pt>
                <c:pt idx="26">
                  <c:v> 10.1162/qss_a_00022</c:v>
                </c:pt>
                <c:pt idx="27">
                  <c:v> 10.1609/aaai.v38i16.29728</c:v>
                </c:pt>
                <c:pt idx="28">
                  <c:v> 10.48550/arXiv.2410.04231</c:v>
                </c:pt>
                <c:pt idx="29">
                  <c:v> 10.1371/journal.pbio.1002542</c:v>
                </c:pt>
              </c:strCache>
            </c:strRef>
          </c:cat>
          <c:val>
            <c:numRef>
              <c:f>'avg doc score'!$F$72:$F$101</c:f>
              <c:numCache>
                <c:formatCode>General</c:formatCode>
                <c:ptCount val="30"/>
                <c:pt idx="0">
                  <c:v>0</c:v>
                </c:pt>
                <c:pt idx="1">
                  <c:v>0.17389092</c:v>
                </c:pt>
                <c:pt idx="2">
                  <c:v>0.22407173133333333</c:v>
                </c:pt>
                <c:pt idx="3">
                  <c:v>0.22315101999999998</c:v>
                </c:pt>
                <c:pt idx="4">
                  <c:v>0.29217876000000009</c:v>
                </c:pt>
                <c:pt idx="5">
                  <c:v>0</c:v>
                </c:pt>
                <c:pt idx="6">
                  <c:v>0.30259760000000002</c:v>
                </c:pt>
                <c:pt idx="7">
                  <c:v>0.33245617249999998</c:v>
                </c:pt>
                <c:pt idx="8">
                  <c:v>0.38487724333333334</c:v>
                </c:pt>
                <c:pt idx="9">
                  <c:v>0.35937489250000004</c:v>
                </c:pt>
                <c:pt idx="10">
                  <c:v>0.4636132</c:v>
                </c:pt>
                <c:pt idx="11">
                  <c:v>0.31280202500000009</c:v>
                </c:pt>
                <c:pt idx="12">
                  <c:v>0.50902492187500004</c:v>
                </c:pt>
                <c:pt idx="13">
                  <c:v>0.52480930000000003</c:v>
                </c:pt>
                <c:pt idx="14">
                  <c:v>0.54014781090909103</c:v>
                </c:pt>
                <c:pt idx="15">
                  <c:v>0.52498712999999997</c:v>
                </c:pt>
                <c:pt idx="16">
                  <c:v>0</c:v>
                </c:pt>
                <c:pt idx="17">
                  <c:v>0.54474180999999999</c:v>
                </c:pt>
                <c:pt idx="18">
                  <c:v>0.57721637500000011</c:v>
                </c:pt>
                <c:pt idx="19">
                  <c:v>0.60809920904761883</c:v>
                </c:pt>
                <c:pt idx="20">
                  <c:v>0.68999980666666683</c:v>
                </c:pt>
                <c:pt idx="21">
                  <c:v>0.70774870000000001</c:v>
                </c:pt>
                <c:pt idx="22">
                  <c:v>0.90672759999999997</c:v>
                </c:pt>
                <c:pt idx="23">
                  <c:v>0.72877930000000013</c:v>
                </c:pt>
                <c:pt idx="24">
                  <c:v>0.72207695000000005</c:v>
                </c:pt>
                <c:pt idx="25">
                  <c:v>0.5468963</c:v>
                </c:pt>
                <c:pt idx="26">
                  <c:v>0.85973333000000007</c:v>
                </c:pt>
                <c:pt idx="27">
                  <c:v>0.84493459999999998</c:v>
                </c:pt>
                <c:pt idx="28">
                  <c:v>0.86275720000000011</c:v>
                </c:pt>
                <c:pt idx="29">
                  <c:v>0.93206495</c:v>
                </c:pt>
              </c:numCache>
            </c:numRef>
          </c:val>
          <c:smooth val="0"/>
          <c:extLst>
            <c:ext xmlns:c16="http://schemas.microsoft.com/office/drawing/2014/chart" uri="{C3380CC4-5D6E-409C-BE32-E72D297353CC}">
              <c16:uniqueId val="{00000001-4186-D24A-BA7C-9C3D226507D1}"/>
            </c:ext>
          </c:extLst>
        </c:ser>
        <c:ser>
          <c:idx val="2"/>
          <c:order val="2"/>
          <c:tx>
            <c:strRef>
              <c:f>'avg doc score'!$G$71</c:f>
              <c:strCache>
                <c:ptCount val="1"/>
                <c:pt idx="0">
                  <c:v>Average of Documents score:data_multi_lang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'avg doc score'!$D$72:$D$101</c:f>
              <c:strCache>
                <c:ptCount val="30"/>
                <c:pt idx="0">
                  <c:v> 10.1002/leap.1411</c:v>
                </c:pt>
                <c:pt idx="1">
                  <c:v> 10.48550/arXiv.2404.01985</c:v>
                </c:pt>
                <c:pt idx="2">
                  <c:v> 10.1007/s11192-022-04367-w</c:v>
                </c:pt>
                <c:pt idx="3">
                  <c:v> 10.1162/qss_a_00112</c:v>
                </c:pt>
                <c:pt idx="4">
                  <c:v> 10.1007/s11192-015-1765-5</c:v>
                </c:pt>
                <c:pt idx="5">
                  <c:v> 10.48550/arXiv.2502.03627</c:v>
                </c:pt>
                <c:pt idx="6">
                  <c:v> 10.48550/arXiv.2303.17661</c:v>
                </c:pt>
                <c:pt idx="7">
                  <c:v> 10.1162/qss_a_00210</c:v>
                </c:pt>
                <c:pt idx="8">
                  <c:v> 10.31274/b8136f97.ccc3dae4</c:v>
                </c:pt>
                <c:pt idx="9">
                  <c:v> 10.1162/qss_a_00286</c:v>
                </c:pt>
                <c:pt idx="10">
                  <c:v> 10.31222/osf.io/smxe5</c:v>
                </c:pt>
                <c:pt idx="11">
                  <c:v> 10.48550/arXiv.2406.15154</c:v>
                </c:pt>
                <c:pt idx="12">
                  <c:v> 10.48550/arXiv.2401.16359</c:v>
                </c:pt>
                <c:pt idx="13">
                  <c:v> 10.1162/qss_a_00212</c:v>
                </c:pt>
                <c:pt idx="14">
                  <c:v> 10.3145/epi.2023.mar.09</c:v>
                </c:pt>
                <c:pt idx="15">
                  <c:v> 10.48550/arXiv.2404.13948</c:v>
                </c:pt>
                <c:pt idx="16">
                  <c:v> 10.1590/SciELOPreprints.11205</c:v>
                </c:pt>
                <c:pt idx="17">
                  <c:v> 10.48550/arXiv.2505.18247</c:v>
                </c:pt>
                <c:pt idx="18">
                  <c:v> 10.48550/arXiv.2404.17663</c:v>
                </c:pt>
                <c:pt idx="19">
                  <c:v> 10.48550/arXiv.2409.10633</c:v>
                </c:pt>
                <c:pt idx="20">
                  <c:v> 10.48550/arXiv.2406.13213</c:v>
                </c:pt>
                <c:pt idx="21">
                  <c:v> 10.1109/ACCESS.2024.3395449</c:v>
                </c:pt>
                <c:pt idx="22">
                  <c:v> 10.48550/arXiv.2312.10997</c:v>
                </c:pt>
                <c:pt idx="23">
                  <c:v> 10.1007/978-3-031-88708-6_3</c:v>
                </c:pt>
                <c:pt idx="24">
                  <c:v> 10.5281/ZENODO.13960973</c:v>
                </c:pt>
                <c:pt idx="25">
                  <c:v> 10.6109/jkiice.2023.27.12.1489</c:v>
                </c:pt>
                <c:pt idx="26">
                  <c:v> 10.1162/qss_a_00022</c:v>
                </c:pt>
                <c:pt idx="27">
                  <c:v> 10.1609/aaai.v38i16.29728</c:v>
                </c:pt>
                <c:pt idx="28">
                  <c:v> 10.48550/arXiv.2410.04231</c:v>
                </c:pt>
                <c:pt idx="29">
                  <c:v> 10.1371/journal.pbio.1002542</c:v>
                </c:pt>
              </c:strCache>
            </c:strRef>
          </c:cat>
          <c:val>
            <c:numRef>
              <c:f>'avg doc score'!$G$72:$G$101</c:f>
              <c:numCache>
                <c:formatCode>General</c:formatCode>
                <c:ptCount val="30"/>
                <c:pt idx="0">
                  <c:v>0.14053692000000001</c:v>
                </c:pt>
                <c:pt idx="1">
                  <c:v>0.15831774000000001</c:v>
                </c:pt>
                <c:pt idx="2">
                  <c:v>0.2380918345000001</c:v>
                </c:pt>
                <c:pt idx="3">
                  <c:v>0.24088813749999999</c:v>
                </c:pt>
                <c:pt idx="4">
                  <c:v>0.40059755499999994</c:v>
                </c:pt>
                <c:pt idx="5">
                  <c:v>0</c:v>
                </c:pt>
                <c:pt idx="6">
                  <c:v>0.33921495000000002</c:v>
                </c:pt>
                <c:pt idx="7">
                  <c:v>0.60251958000000017</c:v>
                </c:pt>
                <c:pt idx="8">
                  <c:v>0.37355851499999998</c:v>
                </c:pt>
                <c:pt idx="9">
                  <c:v>0.44670673666666671</c:v>
                </c:pt>
                <c:pt idx="10">
                  <c:v>0.40011453249999995</c:v>
                </c:pt>
                <c:pt idx="11">
                  <c:v>0.63443416599999991</c:v>
                </c:pt>
                <c:pt idx="12">
                  <c:v>0.50976659499999999</c:v>
                </c:pt>
                <c:pt idx="13">
                  <c:v>0.39641916999999999</c:v>
                </c:pt>
                <c:pt idx="14">
                  <c:v>0.50971825733333342</c:v>
                </c:pt>
                <c:pt idx="15">
                  <c:v>0.59891786999999996</c:v>
                </c:pt>
                <c:pt idx="16">
                  <c:v>0</c:v>
                </c:pt>
                <c:pt idx="17">
                  <c:v>0.51829862500000012</c:v>
                </c:pt>
                <c:pt idx="18">
                  <c:v>0.62186232499999983</c:v>
                </c:pt>
                <c:pt idx="19">
                  <c:v>0.71322715500000045</c:v>
                </c:pt>
                <c:pt idx="20">
                  <c:v>0.66593574999999994</c:v>
                </c:pt>
                <c:pt idx="21">
                  <c:v>0</c:v>
                </c:pt>
                <c:pt idx="22">
                  <c:v>0.63463328333333313</c:v>
                </c:pt>
                <c:pt idx="23">
                  <c:v>0.73398845000000013</c:v>
                </c:pt>
                <c:pt idx="24">
                  <c:v>0.74895920000000005</c:v>
                </c:pt>
                <c:pt idx="25">
                  <c:v>0.75809943999999996</c:v>
                </c:pt>
                <c:pt idx="26">
                  <c:v>0.8639597349999999</c:v>
                </c:pt>
                <c:pt idx="27">
                  <c:v>0.89763280000000001</c:v>
                </c:pt>
                <c:pt idx="28">
                  <c:v>0.88611550000000006</c:v>
                </c:pt>
                <c:pt idx="29">
                  <c:v>0.52339156499999984</c:v>
                </c:pt>
              </c:numCache>
            </c:numRef>
          </c:val>
          <c:smooth val="0"/>
          <c:extLst>
            <c:ext xmlns:c16="http://schemas.microsoft.com/office/drawing/2014/chart" uri="{C3380CC4-5D6E-409C-BE32-E72D297353CC}">
              <c16:uniqueId val="{00000002-4186-D24A-BA7C-9C3D226507D1}"/>
            </c:ext>
          </c:extLst>
        </c:ser>
        <c:dLbls>
          <c:showLegendKey val="0"/>
          <c:showVal val="0"/>
          <c:showCatName val="0"/>
          <c:showSerName val="0"/>
          <c:showPercent val="0"/>
          <c:showBubbleSize val="0"/>
        </c:dLbls>
        <c:marker val="1"/>
        <c:smooth val="0"/>
        <c:axId val="1273648303"/>
        <c:axId val="1273650015"/>
      </c:lineChart>
      <c:catAx>
        <c:axId val="127364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50015"/>
        <c:crosses val="autoZero"/>
        <c:auto val="1"/>
        <c:lblAlgn val="ctr"/>
        <c:lblOffset val="100"/>
        <c:noMultiLvlLbl val="0"/>
      </c:catAx>
      <c:valAx>
        <c:axId val="127365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4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1879600</xdr:colOff>
      <xdr:row>41</xdr:row>
      <xdr:rowOff>38100</xdr:rowOff>
    </xdr:from>
    <xdr:to>
      <xdr:col>9</xdr:col>
      <xdr:colOff>228600</xdr:colOff>
      <xdr:row>55</xdr:row>
      <xdr:rowOff>114300</xdr:rowOff>
    </xdr:to>
    <xdr:graphicFrame macro="">
      <xdr:nvGraphicFramePr>
        <xdr:cNvPr id="6" name="Chart 5">
          <a:extLst>
            <a:ext uri="{FF2B5EF4-FFF2-40B4-BE49-F238E27FC236}">
              <a16:creationId xmlns:a16="http://schemas.microsoft.com/office/drawing/2014/main" id="{05B57CB0-EB7D-63B9-47B3-1549BDFB2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254000</xdr:colOff>
      <xdr:row>77</xdr:row>
      <xdr:rowOff>38100</xdr:rowOff>
    </xdr:from>
    <xdr:to>
      <xdr:col>9</xdr:col>
      <xdr:colOff>533400</xdr:colOff>
      <xdr:row>96</xdr:row>
      <xdr:rowOff>152400</xdr:rowOff>
    </xdr:to>
    <xdr:graphicFrame macro="">
      <xdr:nvGraphicFramePr>
        <xdr:cNvPr id="7" name="Chart 6">
          <a:extLst>
            <a:ext uri="{FF2B5EF4-FFF2-40B4-BE49-F238E27FC236}">
              <a16:creationId xmlns:a16="http://schemas.microsoft.com/office/drawing/2014/main" id="{2942AA1B-711D-D66D-E1D2-4A7B3AA7D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alysis_results_data_jats.xlsx" TargetMode="External"/><Relationship Id="rId1" Type="http://schemas.openxmlformats.org/officeDocument/2006/relationships/externalLinkPath" Target="dense_analysis_results_data_ja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alysis_results_data_multi_lang.xlsx" TargetMode="External"/><Relationship Id="rId1" Type="http://schemas.openxmlformats.org/officeDocument/2006/relationships/externalLinkPath" Target="dense_analysis_results_data_multi_l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vg scores"/>
      <sheetName val="precision"/>
      <sheetName val="raw data"/>
      <sheetName val="avg doc score"/>
    </sheetNames>
    <sheetDataSet>
      <sheetData sheetId="0" refreshError="1"/>
      <sheetData sheetId="1" refreshError="1"/>
      <sheetData sheetId="2" refreshError="1"/>
      <sheetData sheetId="3">
        <row r="1">
          <cell r="E1" t="str">
            <v>Row Labels</v>
          </cell>
          <cell r="F1" t="str">
            <v>Average of Documents score:data_jats</v>
          </cell>
        </row>
        <row r="2">
          <cell r="E2" t="str">
            <v xml:space="preserve"> 10.1007/978-3-031-88708-6_3</v>
          </cell>
          <cell r="F2">
            <v>0.72877930000000013</v>
          </cell>
        </row>
        <row r="3">
          <cell r="E3" t="str">
            <v xml:space="preserve"> 10.1007/s11192-015-1765-5</v>
          </cell>
          <cell r="F3">
            <v>0.29217876000000009</v>
          </cell>
        </row>
        <row r="4">
          <cell r="E4" t="str">
            <v xml:space="preserve"> 10.1007/s11192-022-04367-w</v>
          </cell>
          <cell r="F4">
            <v>0.22407173133333333</v>
          </cell>
        </row>
        <row r="5">
          <cell r="E5" t="str">
            <v xml:space="preserve"> 10.1007/s11192-023-04923-y</v>
          </cell>
          <cell r="F5">
            <v>0.71281280000000002</v>
          </cell>
        </row>
        <row r="6">
          <cell r="E6" t="str">
            <v xml:space="preserve"> 10.1109/ACCESS.2024.3395449</v>
          </cell>
          <cell r="F6">
            <v>0.70774870000000001</v>
          </cell>
        </row>
        <row r="7">
          <cell r="E7" t="str">
            <v xml:space="preserve"> 10.1162/qss_a_00022</v>
          </cell>
          <cell r="F7">
            <v>0.85973333000000007</v>
          </cell>
        </row>
        <row r="8">
          <cell r="E8" t="str">
            <v xml:space="preserve"> 10.1162/qss_a_00112</v>
          </cell>
          <cell r="F8">
            <v>0.22315101999999998</v>
          </cell>
        </row>
        <row r="9">
          <cell r="E9" t="str">
            <v xml:space="preserve"> 10.1162/qss_a_00210</v>
          </cell>
          <cell r="F9">
            <v>0.33245617249999998</v>
          </cell>
        </row>
        <row r="10">
          <cell r="E10" t="str">
            <v xml:space="preserve"> 10.1162/qss_a_00212</v>
          </cell>
          <cell r="F10">
            <v>0.52480930000000003</v>
          </cell>
        </row>
        <row r="11">
          <cell r="E11" t="str">
            <v xml:space="preserve"> 10.1162/qss_a_00286</v>
          </cell>
          <cell r="F11">
            <v>0.35937489250000004</v>
          </cell>
        </row>
        <row r="12">
          <cell r="E12" t="str">
            <v xml:space="preserve"> 10.1371/journal.pbio.1002542</v>
          </cell>
          <cell r="F12">
            <v>0.93206495</v>
          </cell>
        </row>
        <row r="13">
          <cell r="E13" t="str">
            <v xml:space="preserve"> 10.1609/aaai.v38i16.29728</v>
          </cell>
          <cell r="F13">
            <v>0.84493459999999998</v>
          </cell>
        </row>
        <row r="14">
          <cell r="E14" t="str">
            <v xml:space="preserve"> 10.31222/osf.io/smxe5</v>
          </cell>
          <cell r="F14">
            <v>0.4636132</v>
          </cell>
        </row>
        <row r="15">
          <cell r="E15" t="str">
            <v xml:space="preserve"> 10.31274/b8136f97.ccc3dae4</v>
          </cell>
          <cell r="F15">
            <v>0.38487724333333334</v>
          </cell>
        </row>
        <row r="16">
          <cell r="E16" t="str">
            <v xml:space="preserve"> 10.3145/epi.2023.mar.09</v>
          </cell>
          <cell r="F16">
            <v>0.54014781090909103</v>
          </cell>
        </row>
        <row r="17">
          <cell r="E17" t="str">
            <v xml:space="preserve"> 10.48550/arXiv.2303.17661</v>
          </cell>
          <cell r="F17">
            <v>0.30259760000000002</v>
          </cell>
        </row>
        <row r="18">
          <cell r="E18" t="str">
            <v xml:space="preserve"> 10.48550/arXiv.2312.10997</v>
          </cell>
          <cell r="F18">
            <v>0.90672759999999997</v>
          </cell>
        </row>
        <row r="19">
          <cell r="E19" t="str">
            <v xml:space="preserve"> 10.48550/arXiv.2401.16359</v>
          </cell>
          <cell r="F19">
            <v>0.50902492187500004</v>
          </cell>
        </row>
        <row r="20">
          <cell r="E20" t="str">
            <v xml:space="preserve"> 10.48550/arXiv.2404.01985</v>
          </cell>
          <cell r="F20">
            <v>0.17389092</v>
          </cell>
        </row>
        <row r="21">
          <cell r="E21" t="str">
            <v xml:space="preserve"> 10.48550/arXiv.2404.13948</v>
          </cell>
          <cell r="F21">
            <v>0.52498712999999997</v>
          </cell>
        </row>
        <row r="22">
          <cell r="E22" t="str">
            <v xml:space="preserve"> 10.48550/arXiv.2404.17663</v>
          </cell>
          <cell r="F22">
            <v>0.57721637500000011</v>
          </cell>
        </row>
        <row r="23">
          <cell r="E23" t="str">
            <v xml:space="preserve"> 10.48550/arXiv.2406.13213</v>
          </cell>
          <cell r="F23">
            <v>0.68999980666666683</v>
          </cell>
        </row>
        <row r="24">
          <cell r="E24" t="str">
            <v xml:space="preserve"> 10.48550/arXiv.2406.15154</v>
          </cell>
          <cell r="F24">
            <v>0.31280202500000009</v>
          </cell>
        </row>
        <row r="25">
          <cell r="E25" t="str">
            <v xml:space="preserve"> 10.48550/arXiv.2409.10633</v>
          </cell>
          <cell r="F25">
            <v>0.60809920904761883</v>
          </cell>
        </row>
        <row r="26">
          <cell r="E26" t="str">
            <v xml:space="preserve"> 10.48550/arXiv.2410.04231</v>
          </cell>
          <cell r="F26">
            <v>0.86275720000000011</v>
          </cell>
        </row>
        <row r="27">
          <cell r="E27" t="str">
            <v xml:space="preserve"> 10.48550/arXiv.2505.18247</v>
          </cell>
          <cell r="F27">
            <v>0.54474180999999999</v>
          </cell>
        </row>
        <row r="28">
          <cell r="E28" t="str">
            <v xml:space="preserve"> 10.5281/ZENODO.13960973</v>
          </cell>
          <cell r="F28">
            <v>0.72207695000000005</v>
          </cell>
        </row>
        <row r="29">
          <cell r="E29" t="str">
            <v xml:space="preserve"> 10.6109/jkiice.2023.27.12.1489</v>
          </cell>
          <cell r="F29">
            <v>0.5468963</v>
          </cell>
        </row>
        <row r="30">
          <cell r="E30" t="str">
            <v>Grand Total</v>
          </cell>
          <cell r="F30">
            <v>0.51060766576666727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vg scores"/>
      <sheetName val="precision"/>
      <sheetName val="raw data"/>
      <sheetName val="avg doc score"/>
    </sheetNames>
    <sheetDataSet>
      <sheetData sheetId="0" refreshError="1"/>
      <sheetData sheetId="1" refreshError="1"/>
      <sheetData sheetId="2" refreshError="1"/>
      <sheetData sheetId="3">
        <row r="1">
          <cell r="E1" t="str">
            <v>Row Labels- data_multi_lang</v>
          </cell>
          <cell r="F1" t="str">
            <v>Average of Documents score:data_multi_lang</v>
          </cell>
        </row>
        <row r="2">
          <cell r="E2" t="str">
            <v xml:space="preserve"> 10.1002/leap.1411</v>
          </cell>
          <cell r="F2">
            <v>0.14053692000000001</v>
          </cell>
        </row>
        <row r="3">
          <cell r="E3" t="str">
            <v xml:space="preserve"> 10.1007/978-3-031-88708-6_3</v>
          </cell>
          <cell r="F3">
            <v>0.73398845000000013</v>
          </cell>
        </row>
        <row r="4">
          <cell r="E4" t="str">
            <v xml:space="preserve"> 10.1007/s11192-015-1765-5</v>
          </cell>
          <cell r="F4">
            <v>0.40059755499999994</v>
          </cell>
        </row>
        <row r="5">
          <cell r="E5" t="str">
            <v xml:space="preserve"> 10.1007/s11192-022-04367-w</v>
          </cell>
          <cell r="F5">
            <v>0.2380918345000001</v>
          </cell>
        </row>
        <row r="6">
          <cell r="E6" t="str">
            <v xml:space="preserve"> 10.1007/s11192-023-04923-y</v>
          </cell>
          <cell r="F6">
            <v>0.69294593199999999</v>
          </cell>
        </row>
        <row r="7">
          <cell r="E7" t="str">
            <v xml:space="preserve"> 10.1162/qss_a_00022</v>
          </cell>
          <cell r="F7">
            <v>0.8639597349999999</v>
          </cell>
        </row>
        <row r="8">
          <cell r="E8" t="str">
            <v xml:space="preserve"> 10.1162/qss_a_00112</v>
          </cell>
          <cell r="F8">
            <v>0.24088813749999999</v>
          </cell>
        </row>
        <row r="9">
          <cell r="E9" t="str">
            <v xml:space="preserve"> 10.1162/qss_a_00210</v>
          </cell>
          <cell r="F9">
            <v>0.60251958000000017</v>
          </cell>
        </row>
        <row r="10">
          <cell r="E10" t="str">
            <v xml:space="preserve"> 10.1162/qss_a_00212</v>
          </cell>
          <cell r="F10">
            <v>0.39641916999999999</v>
          </cell>
        </row>
        <row r="11">
          <cell r="E11" t="str">
            <v xml:space="preserve"> 10.1162/qss_a_00286</v>
          </cell>
          <cell r="F11">
            <v>0.44670673666666671</v>
          </cell>
        </row>
        <row r="12">
          <cell r="E12" t="str">
            <v xml:space="preserve"> 10.1371/journal.pbio.1002542</v>
          </cell>
          <cell r="F12">
            <v>0.52339156499999984</v>
          </cell>
        </row>
        <row r="13">
          <cell r="E13" t="str">
            <v xml:space="preserve"> 10.1609/aaai.v38i16.29728</v>
          </cell>
          <cell r="F13">
            <v>0.89763280000000001</v>
          </cell>
        </row>
        <row r="14">
          <cell r="E14" t="str">
            <v xml:space="preserve"> 10.31222/osf.io/smxe5</v>
          </cell>
          <cell r="F14">
            <v>0.40011453249999995</v>
          </cell>
        </row>
        <row r="15">
          <cell r="E15" t="str">
            <v xml:space="preserve"> 10.31274/b8136f97.ccc3dae4</v>
          </cell>
          <cell r="F15">
            <v>0.37355851499999998</v>
          </cell>
        </row>
        <row r="16">
          <cell r="E16" t="str">
            <v xml:space="preserve"> 10.3145/epi.2023.mar.09</v>
          </cell>
          <cell r="F16">
            <v>0.50971825733333342</v>
          </cell>
        </row>
        <row r="17">
          <cell r="E17" t="str">
            <v xml:space="preserve"> 10.48550/arXiv.2303.17661</v>
          </cell>
          <cell r="F17">
            <v>0.33921495000000002</v>
          </cell>
        </row>
        <row r="18">
          <cell r="E18" t="str">
            <v xml:space="preserve"> 10.48550/arXiv.2312.10997</v>
          </cell>
          <cell r="F18">
            <v>0.63463328333333313</v>
          </cell>
        </row>
        <row r="19">
          <cell r="E19" t="str">
            <v xml:space="preserve"> 10.48550/arXiv.2401.16359</v>
          </cell>
          <cell r="F19">
            <v>0.50976659499999999</v>
          </cell>
        </row>
        <row r="20">
          <cell r="E20" t="str">
            <v xml:space="preserve"> 10.48550/arXiv.2404.01985</v>
          </cell>
          <cell r="F20">
            <v>0.15831774000000001</v>
          </cell>
        </row>
        <row r="21">
          <cell r="E21" t="str">
            <v xml:space="preserve"> 10.48550/arXiv.2404.13948</v>
          </cell>
          <cell r="F21">
            <v>0.59891786999999996</v>
          </cell>
        </row>
        <row r="22">
          <cell r="E22" t="str">
            <v xml:space="preserve"> 10.48550/arXiv.2404.17663</v>
          </cell>
          <cell r="F22">
            <v>0.62186232499999983</v>
          </cell>
        </row>
        <row r="23">
          <cell r="E23" t="str">
            <v xml:space="preserve"> 10.48550/arXiv.2406.13213</v>
          </cell>
          <cell r="F23">
            <v>0.66593574999999994</v>
          </cell>
        </row>
        <row r="24">
          <cell r="E24" t="str">
            <v xml:space="preserve"> 10.48550/arXiv.2406.15154</v>
          </cell>
          <cell r="F24">
            <v>0.63443416599999991</v>
          </cell>
        </row>
        <row r="25">
          <cell r="E25" t="str">
            <v xml:space="preserve"> 10.48550/arXiv.2409.10633</v>
          </cell>
          <cell r="F25">
            <v>0.71322715500000045</v>
          </cell>
        </row>
        <row r="26">
          <cell r="E26" t="str">
            <v xml:space="preserve"> 10.48550/arXiv.2410.04231</v>
          </cell>
          <cell r="F26">
            <v>0.88611550000000006</v>
          </cell>
        </row>
        <row r="27">
          <cell r="E27" t="str">
            <v xml:space="preserve"> 10.48550/arXiv.2505.18247</v>
          </cell>
          <cell r="F27">
            <v>0.51829862500000012</v>
          </cell>
        </row>
        <row r="28">
          <cell r="E28" t="str">
            <v xml:space="preserve"> 10.5281/ZENODO.13960973</v>
          </cell>
          <cell r="F28">
            <v>0.74895920000000005</v>
          </cell>
        </row>
        <row r="29">
          <cell r="E29" t="str">
            <v xml:space="preserve"> 10.6109/jkiice.2023.27.12.1489</v>
          </cell>
          <cell r="F29">
            <v>0.75809943999999996</v>
          </cell>
        </row>
        <row r="30">
          <cell r="E30" t="str">
            <v>Grand Total</v>
          </cell>
          <cell r="F30">
            <v>0.52488956619354721</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568360300924" createdVersion="8" refreshedVersion="8" minRefreshableVersion="3" recordCount="70" xr:uid="{8054517A-DDCD-A746-9F4D-0716BA9D1C69}">
  <cacheSource type="worksheet">
    <worksheetSource ref="B1:J71" sheet="raw data"/>
  </cacheSource>
  <cacheFields count="9">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Precision" numFmtId="0">
      <sharedItems containsSemiMixedTypes="0" containsString="0" containsNumber="1" minValue="0" maxValue="1"/>
    </cacheField>
    <cacheField name="Recall" numFmtId="0">
      <sharedItems containsSemiMixedTypes="0" containsString="0" containsNumber="1" minValue="0" maxValue="1"/>
    </cacheField>
    <cacheField name="F1-Score" numFmtId="0">
      <sharedItems containsSemiMixedTypes="0" containsString="0" containsNumber="1" minValue="0.68888888888888888" maxValue="1"/>
    </cacheField>
    <cacheField name="Accuracy" numFmtId="0">
      <sharedItems containsSemiMixedTypes="0" containsString="0" containsNumber="1" minValue="0.68888888888888888" maxValue="1"/>
    </cacheField>
    <cacheField name="Balanced accuracy" numFmtId="0">
      <sharedItems containsSemiMixedTypes="0" containsString="0" containsNumber="1" minValue="0.43055555555555558" maxValue="1"/>
    </cacheField>
    <cacheField name="Faithfulness score" numFmtId="0">
      <sharedItems containsSemiMixedTypes="0" containsString="0" containsNumber="1" containsInteger="1" minValue="0" maxValue="5"/>
    </cacheField>
    <cacheField name="Documents score" numFmtId="0">
      <sharedItems count="18">
        <s v="[(0.6519982, '10.1162/qss_a_00286'), (0.33157462, '10.48550/arXiv.2303.17661'), (0.32875618, '10.31222/osf.io/smxe5'), (0.19046825, '10.31274/b8136f97.ccc3dae4'), (0.108387195, '10.1002/leap.1411')]"/>
        <s v="[(0.6519982, '10.1162/qss_a_00286'), (0.3312825, '10.48550/arXiv.2303.17661'), (0.32875618, '10.31222/osf.io/smxe5'), (0.19046825, '10.31274/b8136f97.ccc3dae4'), (0.10833058, '10.1002/leap.1411')]"/>
        <s v="[(0.22735819, '10.1007/s11192-022-04367-w'), (0.13381115, '10.1162/qss_a_00112')]"/>
        <s v="[(0.79732054, '10.48550/arXiv.2401.16359'), (0.73505294, '10.48550/arXiv.2409.10633'), (0.6894943, '10.48550/arXiv.2404.17663'), (0.5712171, '10.3145/epi.2023.mar.09'), (0.43799233, '10.48550/arXiv.2502.03627')]"/>
        <s v="[(0.7476348, '10.1162/qss_a_00022'), (0.52173984, '10.31222/osf.io/smxe5'), (0.33646238, '10.1162/qss_a_00210'), (0.21606153, '10.1007/s11192-022-04367-w'), (0.19438346, '10.31274/b8136f97.ccc3dae4')]"/>
        <s v="[(0.74807674, '10.1162/qss_a_00022'), (0.52203226, '10.31222/osf.io/smxe5'), (0.3362662, '10.1162/qss_a_00210'), (0.2160119, '10.1007/s11192-022-04367-w'), (0.19438346, '10.31274/b8136f97.ccc3dae4')]"/>
        <s v="[(0.8991304, '10.48550/arXiv.2409.10633'), (0.27390003, '10.1162/qss_a_00286'), (0.14425759, '10.48550/arXiv.2502.03627'), (0.13503832, '10.48550/arXiv.2401.16359'), (0.11645239, '10.1007/s11192-015-1765-5')]"/>
        <s v="[(0.8991304, '10.48550/arXiv.2409.10633'), (0.27390003, '10.1162/qss_a_00286'), (0.17677137, '10.48550/arXiv.2404.01985'), (0.13503832, '10.48550/arXiv.2401.16359'), (0.11645239, '10.1007/s11192-015-1765-5')]"/>
        <s v="[(0.7409441, '10.31274/b8136f97.ccc3dae4'), (0.5602773, '10.31222/osf.io/smxe5'), (0.53181785, '10.1162/qss_a_00210'), (0.5172057, '10.1162/qss_a_00212'), (0.3355473, '10.1162/qss_a_00286')]"/>
        <s v="[(0.910998, '10.48550/arXiv.2312.10997'), (0.86136365, '10.48550/arXiv.2410.04231'), (0.8565368, '10.48550/arXiv.2406.13213'), (0.8536326, '10.1609/aaai.v38i16.29728'), (0.7300017, '10.48550/arXiv.2404.13948')]"/>
        <s v="[(0.95696133, '10.1162/qss_a_00022'), (0.5404151, '10.1590/SciELOPreprints.11205'), (0.46774563, '10.31222/osf.io/smxe5'), (0.22025895, '10.1162/qss_a_00210')]"/>
        <s v="[(0.95696133, '10.1162/qss_a_00022'), (0.5405607, '10.1590/SciELOPreprints.11205'), (0.46759978, '10.31222/osf.io/smxe5'), (0.22033444, '10.1162/qss_a_00210')]"/>
        <s v="[(0.8364614, '10.48550/arXiv.2404.17663'), (0.54695654, '10.48550/arXiv.2401.16359'), (0.4784076, '10.48550/arXiv.2409.10633'), (0.47533798, '10.3145/epi.2023.mar.09'), (0.47241634, '10.48550/arXiv.2406.15154')]"/>
        <s v="[(0.47022632, '10.1007/s11192-015-1765-5'), (0.36141315, '10.1162/qss_a_00112'), (0.2322322, '10.48550/arXiv.2409.10633'), (0.15583521, '10.48550/arXiv.2404.17663')]"/>
        <s v="[(0.8190992, '10.1007/978-3-031-88708-6_3'), (0.76826453, '10.6109/jkiice.2023.27.12.1489'), (0.7166357, '10.48550/arXiv.2406.13213'), (0.7156829, '10.1109/ACCESS.2024.3395449'), (0.5843666, '10.48550/arXiv.2505.18247')]"/>
        <s v="[(0.93694025, '10.1371/journal.pbio.1002542')]"/>
        <s v="[(0.73846215, '10.5281/ZENODO.13960973'), (0.31897336, '10.48550/arXiv.2303.17661'), (0.25660416, '10.1007/s11192-022-04367-w')]"/>
        <s v="[(0.6350646, '10.1007/978-3-031-88708-6_3'), (0.5265625, '10.48550/arXiv.2312.10997'), (0.50388235, '10.48550/arXiv.2505.18247'), (0.4896749, '10.48550/arXiv.2406.13213'), (0.32794857, '10.48550/arXiv.2404.13948')]"/>
      </sharedItems>
    </cacheField>
    <cacheField name="Response"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577640625001" createdVersion="8" refreshedVersion="8" minRefreshableVersion="3" recordCount="295" xr:uid="{F5FF3B08-0080-8F45-9CB9-7C0671ADB169}">
  <cacheSource type="worksheet">
    <worksheetSource ref="A1:B296" sheet="avg doc score"/>
  </cacheSource>
  <cacheFields count="2">
    <cacheField name="Documents score" numFmtId="0">
      <sharedItems containsSemiMixedTypes="0" containsString="0" containsNumber="1" minValue="0.10833058" maxValue="0.95696133000000005" count="69">
        <n v="0.65199819999999997"/>
        <n v="0.22735818999999999"/>
        <n v="0.79732053999999997"/>
        <n v="0.74763480000000004"/>
        <n v="0.74807674000000002"/>
        <n v="0.8991304"/>
        <n v="0.74094409999999999"/>
        <n v="0.91099799999999997"/>
        <n v="0.95696133000000005"/>
        <n v="0.83646140000000002"/>
        <n v="0.47022631999999998"/>
        <n v="0.81909920000000003"/>
        <n v="0.93694025000000003"/>
        <n v="0.73846215000000004"/>
        <n v="0.63506459999999998"/>
        <n v="0.33157461999999999"/>
        <n v="0.33128249999999998"/>
        <n v="0.13381114999999999"/>
        <n v="0.73505293999999999"/>
        <n v="0.52173983999999995"/>
        <n v="0.52203226000000003"/>
        <n v="0.27390003000000002"/>
        <n v="0.56027729999999998"/>
        <n v="0.86136365000000004"/>
        <n v="0.54041510000000004"/>
        <n v="0.54056070000000001"/>
        <n v="0.54695654000000005"/>
        <n v="0.36141315000000002"/>
        <n v="0.76826452999999995"/>
        <n v="0.31897335999999998"/>
        <n v="0.52656250000000004"/>
        <n v="0.25660416000000003"/>
        <n v="0.50388235000000003"/>
        <n v="0.48967490000000002"/>
        <n v="0.32794856999999999"/>
        <n v="0.32875618000000001"/>
        <n v="0.19046825000000001"/>
        <n v="0.10838719500000001"/>
        <n v="0.10833058"/>
        <n v="0.6894943"/>
        <n v="0.33646238000000001"/>
        <n v="0.33626620000000002"/>
        <n v="0.14425758999999999"/>
        <n v="0.17677137000000001"/>
        <n v="0.53181785000000004"/>
        <n v="0.85653679999999999"/>
        <n v="0.46774563000000002"/>
        <n v="0.46759978000000002"/>
        <n v="0.47840759999999999"/>
        <n v="0.2322322"/>
        <n v="0.71663569999999999"/>
        <n v="0.57121710000000003"/>
        <n v="0.21606153"/>
        <n v="0.21601190000000001"/>
        <n v="0.13503831999999999"/>
        <n v="0.51720569999999999"/>
        <n v="0.85363259999999996"/>
        <n v="0.22025895000000001"/>
        <n v="0.22033443999999999"/>
        <n v="0.47533797999999999"/>
        <n v="0.15583521"/>
        <n v="0.71568290000000001"/>
        <n v="0.43799232999999999"/>
        <n v="0.19438346000000001"/>
        <n v="0.11645239"/>
        <n v="0.33554729999999999"/>
        <n v="0.73000169999999998"/>
        <n v="0.47241633999999999"/>
        <n v="0.58436659999999996"/>
      </sharedItems>
    </cacheField>
    <cacheField name="DOI" numFmtId="0">
      <sharedItems count="30">
        <s v=" 10.1162/qss_a_00286"/>
        <s v=" 10.1007/s11192-022-04367-w"/>
        <s v=" 10.48550/arXiv.2401.16359"/>
        <s v=" 10.1162/qss_a_00022"/>
        <s v=" 10.48550/arXiv.2409.10633"/>
        <s v=" 10.31274/b8136f97.ccc3dae4"/>
        <s v=" 10.48550/arXiv.2312.10997"/>
        <s v=" 10.48550/arXiv.2404.17663"/>
        <s v=" 10.1007/s11192-015-1765-5"/>
        <s v=" 10.1007/978-3-031-88708-6_3"/>
        <s v=" 10.1371/journal.pbio.1002542"/>
        <s v=" 10.5281/ZENODO.13960973"/>
        <s v=" 10.48550/arXiv.2303.17661"/>
        <s v=" 10.1162/qss_a_00112"/>
        <s v=" 10.31222/osf.io/smxe5"/>
        <s v=" 10.48550/arXiv.2410.04231"/>
        <s v=" 10.1590/SciELOPreprints.11205"/>
        <s v=" 10.6109/jkiice.2023.27.12.1489"/>
        <s v=" 10.48550/arXiv.2505.18247"/>
        <s v=" 10.48550/arXiv.2406.13213"/>
        <s v=" 10.48550/arXiv.2404.13948"/>
        <s v=" 10.1002/leap.1411"/>
        <s v=" 10.1162/qss_a_00210"/>
        <s v=" 10.48550/arXiv.2502.03627"/>
        <s v=" 10.48550/arXiv.2404.01985"/>
        <s v=" 10.3145/epi.2023.mar.09"/>
        <s v=" 10.1162/qss_a_00212"/>
        <s v=" 10.1609/aaai.v38i16.29728"/>
        <s v=" 10.1109/ACCESS.2024.3395449"/>
        <s v=" 10.48550/arXiv.2406.1515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618390509262" createdVersion="8" refreshedVersion="8" minRefreshableVersion="3" recordCount="71" xr:uid="{2348D42D-E7B2-A245-B7D8-CDBFDDA5D8B5}">
  <cacheSource type="worksheet">
    <worksheetSource ref="B1:H1048576" sheet="raw data"/>
  </cacheSource>
  <cacheFields count="7">
    <cacheField name="Query" numFmtId="0">
      <sharedItems containsBlank="1" count="15">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m/>
      </sharedItems>
    </cacheField>
    <cacheField name="Precision" numFmtId="0">
      <sharedItems containsString="0" containsBlank="1" containsNumber="1" minValue="0" maxValue="1"/>
    </cacheField>
    <cacheField name="Recall" numFmtId="0">
      <sharedItems containsString="0" containsBlank="1" containsNumber="1" minValue="0" maxValue="1"/>
    </cacheField>
    <cacheField name="F1-Score" numFmtId="0">
      <sharedItems containsString="0" containsBlank="1" containsNumber="1" minValue="0.68888888888888888" maxValue="1"/>
    </cacheField>
    <cacheField name="Accuracy" numFmtId="0">
      <sharedItems containsString="0" containsBlank="1" containsNumber="1" minValue="0.68888888888888888" maxValue="1"/>
    </cacheField>
    <cacheField name="Balanced accuracy" numFmtId="0">
      <sharedItems containsString="0" containsBlank="1" containsNumber="1" minValue="0.43055555555555558" maxValue="1"/>
    </cacheField>
    <cacheField name="Faithfulness score" numFmtId="0">
      <sharedItems containsString="0" containsBlank="1"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n v="0.6"/>
    <n v="0.6"/>
    <n v="0.91111111111111109"/>
    <n v="0.91111111111111109"/>
    <n v="0.77499999999999991"/>
    <n v="4"/>
    <x v="0"/>
    <s v="Summary: Four studies examined the abstract in metadata._x000a__x000a_DOI: 10.1162/qss_a_00286 - This study compares the amount of metadata and the completeness degree of research publications in new academic databases._x000a__x000a_DOI: 10.31222/osf.io/smxe5 - This study presents an up-to-date overview of the availability of six metadata elements in Crossref, including abstracts._x000a__x000a_DOI: 10.31274/b8136f97.ccc3dae4 - This study compares funder metadata in OpenAlex and Dimensions, two scholarly databases._x000a__x000a_DOI: 10.1002/leap.1411 - This study investigates the lexical content of abstracts associated with preprints issued in response to the COVID-19 pandemic._x000a__x000a_My lady, I hope this information is helpful. If you have any further questions or need additional assistance, please don't hesitate to ask."/>
  </r>
  <r>
    <x v="0"/>
    <n v="0.6"/>
    <n v="0.6"/>
    <n v="0.91111111111111109"/>
    <n v="0.91111111111111109"/>
    <n v="0.77499999999999991"/>
    <n v="4"/>
    <x v="0"/>
    <s v="Summary: I found four studies that examined the abstract in metadata._x000a__x000a_DOI: 10.1162/qss_a_00286_x000a_Completeness degree of publication metadata in eight free-access scholarly databases_x000a_This study compares the amount of metadata and the completeness degree of research publications in new academic databases._x000a__x000a_DOI: 10.31222/osf.io/smxe5_x000a_Crossref as a source of open bibliographic metadata_x000a_This study presents an up-to-date overview of the availability of six metadata elements in Crossref, including abstracts._x000a__x000a_DOI: 10.31274/b8136f97.ccc3dae4_x000a_Comparing Funder Metadata in OpenAlex and Dimensions_x000a_This study compares the results from OpenAlex and Dimensions, two scholarly databases that provide metadata, including abstracts._x000a__x000a_DOI: 10.1002/leap.1411_x000a_Over‐promotion and caution in abstracts of preprints during the COVID‐19 crisis_x000a_This study investigates whether the COVID-19 crisis has changed the lexical content of abstracts in preprints._x000a__x000a_My lady, I hope this information is helpful. If you have any further questions or need additional assistance, please let me know."/>
  </r>
  <r>
    <x v="0"/>
    <n v="0.6"/>
    <n v="0.6"/>
    <n v="0.91111111111111109"/>
    <n v="0.91111111111111109"/>
    <n v="0.77499999999999991"/>
    <n v="4"/>
    <x v="1"/>
    <s v="Summary: I have found four studies that examined the abstract in metadata._x000a__x000a_DOI: 10.1162/qss_a_00286_x000a_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_x000a__x000a_DOI: 10.31222/osf.io/smxe5_x000a_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_x000a__x000a_DOI: 10.31274/b8136f97.ccc3dae4_x000a_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_x000a__x000a_DOI: 10.1002/leap.1411_x000a_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_x000a__x000a_My lady, I hope this information is helpful. If you have any further questions or need additional assistance, please let me know."/>
  </r>
  <r>
    <x v="0"/>
    <n v="0.6"/>
    <n v="0.6"/>
    <n v="0.91111111111111109"/>
    <n v="0.91111111111111109"/>
    <n v="0.77499999999999991"/>
    <n v="4"/>
    <x v="0"/>
    <s v="Summary: I have found four studies that examined the abstract in metadata._x000a__x000a_DOI: 10.1162/qss_a_00286_x000a_Title: Completeness degree of publication metadata in eight free-access scholarly databases_x000a_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002/leap.1411_x000a_Title: Over‐promotion and caution in abstracts of preprints during the COVID‐19 crisis_x000a_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_x000a__x000a_My lady, is there anything else I can help you with?"/>
  </r>
  <r>
    <x v="0"/>
    <n v="0.6"/>
    <n v="0.6"/>
    <n v="0.91111111111111109"/>
    <n v="0.91111111111111109"/>
    <n v="0.77499999999999991"/>
    <n v="4"/>
    <x v="0"/>
    <s v="Summary: I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274/b8136f97.ccc3dae4 - This study compared funder metadata in OpenAlex and Dimensions, two scholarly databases that provide metadata._x000a__x000a_DOI: 10.1002/leap.1411 - This study investigated whether the COVID-19 crisis changed the lexical content of abstracts in preprints._x000a__x000a_My lady, I hope this information is helpful. If you have any further questions or need additional assistance, please let me know."/>
  </r>
  <r>
    <x v="1"/>
    <n v="0"/>
    <n v="0"/>
    <n v="0.77777777777777779"/>
    <n v="0.77777777777777779"/>
    <n v="0.4375"/>
    <n v="0"/>
    <x v="2"/>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r>
  <r>
    <x v="1"/>
    <n v="1"/>
    <n v="0.4"/>
    <n v="0.93333333333333335"/>
    <n v="0.93333333333333335"/>
    <n v="0.7"/>
    <n v="2"/>
    <x v="2"/>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r>
  <r>
    <x v="1"/>
    <n v="1"/>
    <n v="0.4"/>
    <n v="0.93333333333333335"/>
    <n v="0.93333333333333335"/>
    <n v="0.7"/>
    <n v="2"/>
    <x v="2"/>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r>
  <r>
    <x v="1"/>
    <n v="1"/>
    <n v="0.4"/>
    <n v="0.93333333333333335"/>
    <n v="0.93333333333333335"/>
    <n v="0.7"/>
    <n v="2"/>
    <x v="2"/>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r>
  <r>
    <x v="1"/>
    <n v="1"/>
    <n v="0.4"/>
    <n v="0.93333333333333335"/>
    <n v="0.93333333333333335"/>
    <n v="0.7"/>
    <n v="2"/>
    <x v="2"/>
    <s v="Summary: Two studies examined citations._x000a__x000a_DOI: 10.1007/s11192-022-04367-w_x000a_This study analysed the open bibliographic metadata available in Crossref to identify classes of DOI mistakes. It highlighted which publishers were responsible for such mistakes and how many of these incorrect DOIs could be corrected through automatic processes._x000a__x000a_DOI: 10.1162/qss_a_00112_x000a_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
  </r>
  <r>
    <x v="2"/>
    <n v="0"/>
    <n v="0"/>
    <n v="0.8"/>
    <n v="0.8"/>
    <n v="0.47368421052631582"/>
    <n v="0"/>
    <x v="3"/>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r>
  <r>
    <x v="2"/>
    <n v="0.8"/>
    <n v="0.5714285714285714"/>
    <n v="0.91111111111111109"/>
    <n v="0.91111111111111109"/>
    <n v="0.77255639097744355"/>
    <n v="5"/>
    <x v="3"/>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r>
  <r>
    <x v="2"/>
    <n v="0.8"/>
    <n v="0.5714285714285714"/>
    <n v="0.91111111111111109"/>
    <n v="0.91111111111111109"/>
    <n v="0.77255639097744355"/>
    <n v="5"/>
    <x v="3"/>
    <s v="Summary: OpenAlex is a promising open-source database of scholarly metadata, which launched in 2022.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r>
  <r>
    <x v="2"/>
    <n v="0.8"/>
    <n v="0.5714285714285714"/>
    <n v="0.91111111111111109"/>
    <n v="0.91111111111111109"/>
    <n v="0.77255639097744355"/>
    <n v="4"/>
    <x v="3"/>
    <s v="Summary: OpenAlex is a new inclusive open-source database that is already in use by scholars and research institutions._x000a__x000a_DOI: 10.48550/arXiv.2409.10633 - OpenAlex was launched in 2022 and promised comprehensive, inclusive, and open-source research information._x000a__x000a_DOI: 10.48550/arXiv.2404.17663 - OpenAlex is a superset of Scopus and can be a reliable alternative for some analyses, particularly at the country level._x000a__x000a_DOI: 10.3145/epi.2023.mar.09 - OpenAlex transferred practically all works from MAG, preserving their bibliographic data publication year, volume, first and last page, DOI as well as the number of references that are important ingredients of citation analysis._x000a__x000a_DOI: 10.48550/arXiv.2502.03627 - OpenAlex is a lack of truly multilingual, large-scale bibliographic database, and it is hoped that these results help confirm and foster the unparalleled potential of the OpenAlex database for cross-linguistic, bibliometric-based research and analysis._x000a__x000a_My lady, I hope this information is helpful. If you have any further questions, please let me know."/>
  </r>
  <r>
    <x v="2"/>
    <n v="0.8"/>
    <n v="0.5714285714285714"/>
    <n v="0.91111111111111109"/>
    <n v="0.91111111111111109"/>
    <n v="0.77255639097744355"/>
    <n v="5"/>
    <x v="3"/>
    <s v="Summary: OpenAlex is a promising open source of scholarly metadata, and competitor to established proprietary sources, such as the Web of Science and Scopus._x000a__x000a_DOI: 10.48550/arXiv.2401.16359_x000a_Title: Reference Coverage Analysis of OpenAlex compared to Web of Science and Scopus_x000a_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Title: Evaluating the Linguistic Coverage of OpenAlex: An Assessment of Metadata Accuracy and Completeness_x000a_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Title: An analysis of the suitability of OpenAlex for bibliometric analyses_x000a_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Title: Which of the metadata with relevance for bibliometrics are the same and which are different when switching from Microsoft Academic Graph to OpenAlex?_x000a_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itle: Sorting the Babble in Babel: Assessing the Performance of Language Detection Algorithms on the OpenAlex Database_x000a_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r>
  <r>
    <x v="3"/>
    <n v="0"/>
    <n v="0"/>
    <n v="0.68888888888888888"/>
    <n v="0.68888888888888888"/>
    <n v="0.43055555555555558"/>
    <n v="0"/>
    <x v="4"/>
    <s v="Summary: Crossref is a sustainable source of community-owned scholarly metadata._x000a__x000a_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My lady, is there anything else I can help you with?"/>
  </r>
  <r>
    <x v="3"/>
    <n v="1"/>
    <n v="0.55555555555555558"/>
    <n v="0.91111111111111109"/>
    <n v="0.91111111111111109"/>
    <n v="0.77777777777777779"/>
    <n v="5"/>
    <x v="4"/>
    <s v="Summary: Crossref is a sustainable source of community-owned scholarly metadata._x000a__x000a_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r>
  <r>
    <x v="3"/>
    <n v="1"/>
    <n v="0.55555555555555558"/>
    <n v="0.91111111111111109"/>
    <n v="0.91111111111111109"/>
    <n v="0.77777777777777779"/>
    <n v="1"/>
    <x v="5"/>
    <s v="Summary: Crossref is a sustainable source of community-owned scholarly metadata that contains over 106 million records and expands at an average rate of 11% a year._x000a__x000a_DOI: 10.1162/qss_a_00022_x000a__x000a_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3"/>
    <n v="1"/>
    <n v="0.55555555555555558"/>
    <n v="0.91111111111111109"/>
    <n v="0.91111111111111109"/>
    <n v="0.77777777777777779"/>
    <n v="5"/>
    <x v="4"/>
    <s v="Summary: Crossref is a sustainable source of community-owned scholarly metadata._x000a__x000a_DOI: 10.1162/qss_a_00022 - Crossref contains over 106 million records and is expanding at an average rate of 11% a year. It has become one of the major sources of scholarly data for publishers, authors, librarians, funders, and researchers._x000a__x000a_DOI: 10.31222/osf.io/smxe5 -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31274/b8136f97.ccc3dae4 - OpenAlex uses Crossref as a major building block in its dataset, with the general consequence that if Crossref doesn’t have it, OpenAlex won’t see it._x000a__x000a_Is there anything else I can help you with, my lady?"/>
  </r>
  <r>
    <x v="3"/>
    <n v="1"/>
    <n v="0.55555555555555558"/>
    <n v="0.91111111111111109"/>
    <n v="0.91111111111111109"/>
    <n v="0.77777777777777779"/>
    <n v="5"/>
    <x v="4"/>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r>
  <r>
    <x v="4"/>
    <n v="0"/>
    <n v="0"/>
    <n v="0.77777777777777779"/>
    <n v="0.77777777777777779"/>
    <n v="0.4375"/>
    <n v="0"/>
    <x v="6"/>
    <s v="Summary: I found four papers that evaluate the linguistic coverage or language-related metadata in scholarly databases._x000a__x000a_DOI: 10.48550/arXiv.2409.10633_x000a_Evaluating the Linguistic Coverage of OpenAlex: An Assessment of Metadata Accuracy and Completeness_x000a__x000a_DOI: 10.1162/qss_a_00286_x000a_Completeness degree of publication metadata in eight free-access scholarly databases_x000a__x000a_DOI: 10.48550/arXiv.2401.16359_x000a_Reference Coverage Analysis of OpenAlex compared to Web of Science and Scopus_x000a__x000a_DOI: 10.1007/s11192-015-1765-5_x000a_The journal coverage of Web of Science and Scopus: a comparative analysis_x000a__x000a_My lady, is there anything else I can help you with?"/>
  </r>
  <r>
    <x v="4"/>
    <n v="0.6"/>
    <n v="0.6"/>
    <n v="0.91111111111111109"/>
    <n v="0.91111111111111109"/>
    <n v="0.77499999999999991"/>
    <n v="4"/>
    <x v="6"/>
    <s v="Summary: I found four papers that evaluate the linguistic coverage or language-related metadata in scholarly databases._x000a__x000a_DOI: 10.48550/arXiv.2409.10633_x000a_This paper evaluates the linguistic coverage of OpenAlex, comparing it with Web of Science (WoS) and conducting a manual validation of 6,836 articles. It finds that OpenAlex has more balanced linguistic coverage than WoS, but its language metadata is not always accurate._x000a__x000a_DOI: 10.1162/qss_a_00286_x000a_This study compares the completeness of metadata, including language, in eight free-access scholarly databases. It finds that third-party databases like OpenAlex have higher metadata quality and completeness rates compared to academic search engines._x000a__x000a_DOI: 10.48550/arXiv.2502.03627_x000a_This paper assesses the performance of language detection algorithms on the OpenAlex database. It compares various algorithms and finds that procedure performance depends on the importance given to precision and recall._x000a__x000a_DOI: 10.1007/s11192-015-1765-5_x000a_This research compares the journal coverage of Web of Science and Scopus, assessing language representation. It finds that English-language journals are overrepresented in both databases, which may introduce biases in bibliometric analyses._x000a__x000a_My lady, I hope this information is helpful. If you have any further questions or need more details, please let me know."/>
  </r>
  <r>
    <x v="4"/>
    <n v="0.6"/>
    <n v="0.6"/>
    <n v="0.91111111111111109"/>
    <n v="0.91111111111111109"/>
    <n v="0.77499999999999991"/>
    <n v="2"/>
    <x v="6"/>
    <s v="Summary: Two papers evaluate the linguistic coverage or language-related metadata in scholarly databases.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1007/s11192-015-1765-5_x000a_The journal coverage of Web of Science and Scopus: a comparative analysis_x000a_This paper compares the coverage of active scholarly journals in WoS (13,605 journals) and Scopus (20,346 journals) with Ulrich’s extensive periodical directory (63,013 journals) to assess whether some field, publishing country and language are over or underrepresented."/>
  </r>
  <r>
    <x v="4"/>
    <n v="0.6"/>
    <n v="0.6"/>
    <n v="0.91111111111111109"/>
    <n v="0.91111111111111109"/>
    <n v="0.77499999999999991"/>
    <n v="5"/>
    <x v="6"/>
    <s v="Summary: Several papers evaluate the linguistic coverage or language-related metadata in scholarly databases._x000a__x000a_DOI: 10.48550/arXiv.2409.10633 - Evaluates the linguistic coverage of OpenAlex, comparing it with Web of Science (WoS) and conducting manual validation. OpenAlex shows more balanced linguistic coverage but has inaccuracies in language metadata._x000a__x000a_DOI: 10.1162/qss_a_00286 - Compares metadata completeness in eight free-access scholarly databases, including language-related metadata. Third-party databases like OpenAlex have higher completeness rates than academic search engines._x000a__x000a_DOI: 10.48550/arXiv.2502.03627 - Assesses language detection algorithms on the OpenAlex database, highlighting its potential for cross-linguistic research despite limitations in multilingual coverage._x000a__x000a_DOI: 10.48550/arXiv.2401.16359 - Analyzes reference coverage and metadata in OpenAlex, Web of Science, and Scopus, noting similarities and differences in metadata distribution, including language-related data._x000a__x000a_DOI: 10.1007/s11192-015-1765-5 - Compares journal coverage in Web of Science and Scopus, identifying biases towards English-language journals and certain fields, impacting bibliometric analyses._x000a__x000a_My lady, these papers provide insights into the linguistic coverage and metadata quality in various scholarly databases, highlighting both strengths and limitations."/>
  </r>
  <r>
    <x v="4"/>
    <n v="0.6"/>
    <n v="0.6"/>
    <n v="0.91111111111111109"/>
    <n v="0.91111111111111109"/>
    <n v="0.77499999999999991"/>
    <n v="4"/>
    <x v="7"/>
    <s v="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9.10633_x000a__x000a_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_x000a__x000a_DOI: 10.1162/qss_a_00286_x000a__x000a_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_x000a__x000a_DOI: 10.48550/arXiv.2404.01985_x000a__x000a_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1.16359_x000a__x000a_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_x000a__x000a_DOI: 10.1007/s11192-015-1765-5_x000a__x000a_My lady, I hope this information is helpful."/>
  </r>
  <r>
    <x v="5"/>
    <n v="0.4"/>
    <n v="0.4"/>
    <n v="0.8666666666666667"/>
    <n v="0.8666666666666667"/>
    <n v="0.66250000000000009"/>
    <n v="1"/>
    <x v="8"/>
    <s v="Summary: Several papers address funding metadata, its availability, or its analysis in scholarly databases._x000a__x000a_DOI: 10.31274/b8136f97.ccc3dae4 - This paper compares funder metadata in OpenAlex and Dimensions, discussing how funder metadata gets into scholarly databases and the challenges of its optional nature at DOI registration._x000a__x000a_DOI: 10.31222/osf.io/smxe5 - This paper presents an overview of the availability of metadata elements, including funding information, in Crossref, highlighting improvements over time but also the need for further efforts to achieve full openness._x000a__x000a_DOI: 10.1162/qss_a_00210 - This paper examines the availability and completeness of open funder metadata, specifically for publications funded by the Dutch Research Council, and compares coverage across different databases._x000a__x000a_DOI: 10.1162/qss_a_00212 - This paper analyzes the open availability of funding data in Crossref for COVID-19 research publications and compares it with proprietary bibliometric databases, offering recommendations for improvement._x000a__x000a_DOI: 10.1162/qss_a_00286 - While not directly focused on funding metadata, this paper compares the completeness of publication metadata, including funding information, across eight free-access scholarly databases._x000a__x000a_My lady, I hope this information is helpful. If you have any further questions or need additional assistance, please don't hesitate to ask."/>
  </r>
  <r>
    <x v="5"/>
    <n v="0.8"/>
    <n v="0.8"/>
    <n v="0.9555555555555556"/>
    <n v="0.9555555555555556"/>
    <n v="0.88749999999999996"/>
    <n v="5"/>
    <x v="8"/>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_x000a__x000a_DOI: 10.31222/osf.io/smxe5 - Analyzes the availability of metadata elements, including funding information, in Crossref, highlighting improvements and areas for publisher efforts._x000a__x000a_DOI: 10.1162/qss_a_00210 - Examines the availability and completeness of open funder metadata using a case study of publications funded by the Dutch Research Council, comparing Crossref with proprietary databases._x000a__x000a_DOI: 10.1162/qss_a_00212 - Studies the open availability of funding data in Crossref for COVID-19 research, comparing it with proprietary databases and offering recommendations for improvement._x000a__x000a_DOI: 10.1162/qss_a_00286 - Compares the completeness of publication metadata, including funding information, in eight free-access scholarly databases, highlighting differences between academic search engines and third-party databases._x000a__x000a_My lady, I hope this information is helpful. If you have any further questions or need additional details, please let me know."/>
  </r>
  <r>
    <x v="5"/>
    <n v="0.8"/>
    <n v="0.8"/>
    <n v="0.9555555555555556"/>
    <n v="0.9555555555555556"/>
    <n v="0.88749999999999996"/>
    <n v="5"/>
    <x v="8"/>
    <s v="Summary: Several papers address funding metadata, its availability, or its analysis in scholarly databases._x000a__x000a_DOI: 10.31274/b8136f97.ccc3dae4 - Comparing Funder Metadata in OpenAlex and Dimensions: This paper compares the availability and analysis of funder metadata in two scholarly databases, OpenAlex and Dimensions._x000a__x000a_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_x000a__x000a_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_x000a__x000a_DOI: 10.1162/qss_a_00212 - Funding COVID-19 research: Insights from an exploratory analysis using open data infrastructures: This paper analyzes the availability and quality of funding data in Crossref and other databases for publications related to COVID-19 research._x000a__x000a_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_x000a__x000a_My lady, I hope this information is helpful. If you have any further questions or would like more details on a specific paper, please let me know."/>
  </r>
  <r>
    <x v="5"/>
    <n v="0.8"/>
    <n v="0.8"/>
    <n v="0.9555555555555556"/>
    <n v="0.9555555555555556"/>
    <n v="0.88749999999999996"/>
    <n v="4"/>
    <x v="8"/>
    <s v="Summary: I found four papers that address funding metadata, its availability, or its analysis in scholarly databases._x000a__x000a_DOI: 10.31274/b8136f97.ccc3dae4_x000a_This paper compares funder metadata in OpenAlex and Dimensions._x000a__x000a_DOI: 10.31222/osf.io/smxe5_x000a_This paper presents an overview of the availability of six metadata elements in Crossref, including funding information._x000a__x000a_DOI: 10.1162/qss_a_00210_x000a_This paper looks at the availability and completeness of open funder metadata in Crossref, Web of Science, Scopus, Dimensions, and Lens._x000a__x000a_DOI: 10.1162/qss_a_00212_x000a_This paper studies the open availability of funding data in Crossref, Scopus, and Web of Science._x000a__x000a_My lady, I hope this information is helpful. If you have any further questions, please let me know."/>
  </r>
  <r>
    <x v="5"/>
    <n v="0.8"/>
    <n v="0.8"/>
    <n v="0.9555555555555556"/>
    <n v="0.9555555555555556"/>
    <n v="0.88749999999999996"/>
    <n v="5"/>
    <x v="8"/>
    <s v="Summary: Several papers address funding metadata, its availability, or its analysis in scholarly databases._x000a__x000a_DOI: 10.31274/b8136f97.ccc3dae4_x000a_Comparing Funder Metadata in OpenAlex and Dimensions_x000a__x000a_DOI: 10.31222/osf.io/smxe5_x000a_Crossref as a source of open bibliographic metadata_x000a__x000a_DOI: 10.1162/qss_a_00210_x000a_The availability and completeness of open funder metadata: Case study for publications funded by the Dutch Research Council_x000a__x000a_DOI: 10.1162/qss_a_00212_x000a_Funding COVID-19 research: Insights from an exploratory analysis using open data infrastructures_x000a__x000a_DOI: 10.1162/qss_a_00286_x000a_Completeness degree of publication metadata in eight free-access scholarly databases"/>
  </r>
  <r>
    <x v="6"/>
    <n v="0"/>
    <n v="0"/>
    <n v="0.77777777777777779"/>
    <n v="0.77777777777777779"/>
    <n v="0.4375"/>
    <n v="0"/>
    <x v="9"/>
    <s v="Retrieval-Augmented Generation (RAG) is a promising solution for addressing the limitations of Large Language Models (LLMs), such as hallucination, outdated knowledge, and non-transparent, untraceable reasoning processes._x000a__x000a_DOI: 10.48550/arXiv.2312.10997_x000a_Retrieval-Augmented Generation for Large Language Models: A Survey_x000a_This paper provides a comprehensive review of RAG paradigms, including Naive RAG, Advanced RAG, and Modular RAG. It examines the tripartite foundation of RAG frameworks, highlighting state-of-the-art technologies in retrieval, generation, and augmentation techniques._x000a__x000a_DOI: 10.48550/arXiv.2410.04231_x000a_Metadata-based Data Exploration with Retrieval-Augmented Generation for Large Language Models_x000a_This research introduces a new architecture for data exploration using RAG to enhance metadata-based data discovery. The system integrates LLMs with external vector databases to identify semantic relationships among diverse datasets._x000a__x000a_DOI: 10.48550/arXiv.2406.13213_x000a_Multi-Meta-RAG: Improving RAG for Multi-Hop Queries using Database Filtering with LLM-Extracted Metadata_x000a_This paper presents Multi-Meta-RAG, a method to improve RAG for multi-hop queries by using database filtering with LLM-extracted metadata. The approach enhances the selection of relevant documents from various sources._x000a__x000a_DOI: 10.1609/aaai.v38i16.29728_x000a_Benchmarking Large Language Models in Retrieval-Augmented Generation_x000a_This study systematically investigates the impact of RAG on LLMs by analyzing their performance in fundamental abilities required for RAG, such as noise robustness and information integration. It establishes the Retrieval-Augmented Generation Benchmark (RGB) for evaluation._x000a__x000a_DOI: 10.48550/arXiv.2404.13948_x000a_Typos that Broke the RAG's Back: Genetic Attack on RAG Pipeline by Simulating Documents in the Wild via Low-level Perturbations_x000a_This work investigates the robustness of RAG systems against noisy documents and introduces a novel attack method, Genetic Attack on RAG (GARAG), to reveal vulnerabilities within RAG components._x000a__x000a_My lady, these papers discuss the use of RAG in large language models and related applications, highlighting its potential and challenges."/>
  </r>
  <r>
    <x v="6"/>
    <n v="0.6"/>
    <n v="0.6"/>
    <n v="0.91111111111111109"/>
    <n v="0.91111111111111109"/>
    <n v="0.77499999999999991"/>
    <n v="5"/>
    <x v="9"/>
    <s v="Retrieval-Augmented Generation (RAG) is a promising solution for addressing the limitations of LLMs._x000a__x000a_DOI: 10.48550/arXiv.2312.10997_x000a_Title: Retrieval-Augmented Generation for Large Language Models: A Survey_x000a_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_x000a__x000a_DOI: 10.48550/arXiv.2410.04231_x000a_Title: Metadata-based Data Exploration with Retrieval-Augmented Generation for Large Language Models_x000a_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_x000a__x000a_DOI: 10.48550/arXiv.2406.13213_x000a_Title: Multi-Meta-RAG: Improving RAG for Multi-Hop Queries using Database Filtering with LLM-Extracted Metadata_x000a_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_x000a__x000a_DOI: 10.1609/aaai.v38i16.29728_x000a_Title: Benchmarking Large Language Models in Retrieval-Augmented Generation_x000a_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_x000a__x000a_DOI: 10.48550/arXiv.2404.13948_x000a_Title: Typos that Broke the RAG's Back: Genetic Attack on RAG Pipeline by Simulating Documents in the Wild via Low-level Perturbations_x000a_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_x000a__x000a_My lady, is there anything else I can help you with?"/>
  </r>
  <r>
    <x v="6"/>
    <n v="0.6"/>
    <n v="0.6"/>
    <n v="0.91111111111111109"/>
    <n v="0.91111111111111109"/>
    <n v="0.77499999999999991"/>
    <n v="5"/>
    <x v="9"/>
    <s v="Summary: Retrieval-Augmented Generation (RAG) is a promising solution for mitigating the hallucination of large language models (LLMs)._x000a__x000a_DOI: 10.48550/arXiv.2312.10997 - This comprehensive review paper offers a detailed examination of the progression of RAG paradigms, encompassing the Naive RAG, the Advanced RAG, and the Modular RAG._x000a__x000a_DOI: 10.48550/arXiv.2410.04231 - This paper introduces a new architecture for data exploration which employs a form of Retrieval-Augmented Generation (RAG) to enhance metadata-based data discovery._x000a__x000a_DOI: 10.48550/arXiv.2406.13213 - This paper introduces a new method called Multi-Meta-RAG, which uses database filtering with LLM-extracted metadata to improve the RAG selection of the relevant documents from various sources, relevant to the question._x000a__x000a_DOI: 10.1609/aaai.v38i16.29728 - This paper systematically investigates the impact of Retrieval-Augmented Generation on large language models._x000a__x000a_DOI: 10.48550/arXiv.2404.13948 - This paper introduces a novel attack method, the Genetic Attack on RAG (GARAG), which targets the vulnerability to noisy documents through low-level perturbations and a holistic evaluation of RAG robustness._x000a__x000a_My lady, I hope this information is helpful. If you have any further questions, please don't hesitate to ask."/>
  </r>
  <r>
    <x v="6"/>
    <n v="0.6"/>
    <n v="0.6"/>
    <n v="0.91111111111111109"/>
    <n v="0.91111111111111109"/>
    <n v="0.77499999999999991"/>
    <n v="5"/>
    <x v="9"/>
    <s v="I have found four papers that discuss the use of Retrieval-Augmented Generation (RAG) in large language models or related applications, my lady._x000a__x000a_**Summary:** Retrieval-Augmented Generation (RAG) is a promising approach to enhance the accuracy and credibility of large language models (LLM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_x000a__x000a_**DOI: 10.48550/arXiv.2406.13213**_x000a_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_x000a__x000a_**DOI: 10.1609/aaai.v38i16.29728**_x000a_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_x000a__x000a_**DOI: 10.48550/arXiv.2404.13948**_x000a_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
  </r>
  <r>
    <x v="6"/>
    <n v="0.6"/>
    <n v="0.6"/>
    <n v="0.91111111111111109"/>
    <n v="0.91111111111111109"/>
    <n v="0.77499999999999991"/>
    <n v="5"/>
    <x v="9"/>
    <s v="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_x000a__x000a_Here are some papers that discuss the use of RAG in LLMs or related application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_x000a__x000a_**DOI: 10.48550/arXiv.2406.13213**_x000a_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_x000a__x000a_**DOI: 10.1609/aaai.v38i16.29728**_x000a_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_x000a__x000a_**DOI: 10.48550/arXiv.2404.13948**_x000a_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_x000a__x000a_My lady, I hope this information is helpful. If you have any further questions or need additional assistance, please don't hesitate to ask."/>
  </r>
  <r>
    <x v="7"/>
    <n v="0"/>
    <n v="0"/>
    <n v="0.77777777777777779"/>
    <n v="0.77777777777777779"/>
    <n v="0.4375"/>
    <n v="0"/>
    <x v="10"/>
    <s v="Summary: Crossref is a sustainable source of community-owned scholarly metadata that collects and makes available scholarly metadata for publishers, authors, librarians, funders, and researchers._x000a__x000a_DOI: 10.1162/qss_a_00022_x000a__x000a_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_x000a__x000a_My lady, is there anything else I can assist you with?"/>
  </r>
  <r>
    <x v="7"/>
    <n v="0.75"/>
    <n v="0.6"/>
    <n v="0.93333333333333335"/>
    <n v="0.93333333333333335"/>
    <n v="0.78749999999999998"/>
    <n v="1"/>
    <x v="10"/>
    <s v="Summary: Crossref is a sustainable source of community-owned scholarly metadata that is available to publishers, authors, librarians, funders, and researchers._x000a__x000a_DOI: 10.1162/qss_a_00022_x000a__x000a_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_x000a__x000a_Is there anything else I can help you with, my lady?"/>
  </r>
  <r>
    <x v="7"/>
    <n v="0.75"/>
    <n v="0.6"/>
    <n v="0.93333333333333335"/>
    <n v="0.93333333333333335"/>
    <n v="0.78749999999999998"/>
    <n v="1"/>
    <x v="10"/>
    <s v="Summary: Crossref is a sustainable source of community-owned scholarly metadata, providing over 106 million records of 13 content types including journals, conference papers, datasets, reports, preprints, peer reviews, and grants._x000a__x000a_DOI: 10.1162/qss_a_00022_x000a__x000a_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_x000a__x000a_My lady, is there anything else you would like to know?"/>
  </r>
  <r>
    <x v="7"/>
    <n v="0.75"/>
    <n v="0.6"/>
    <n v="0.93333333333333335"/>
    <n v="0.93333333333333335"/>
    <n v="0.78749999999999998"/>
    <n v="1"/>
    <x v="11"/>
    <s v="Summary: Crossref is a sustainable source of community-owned scholarly metadata that collects and makes available bibliographic metadata of scholarly publications._x000a__x000a_DOI: 10.1162/qss_a_00022_x000a__x000a_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7"/>
    <n v="0.75"/>
    <n v="0.6"/>
    <n v="0.93333333333333335"/>
    <n v="0.93333333333333335"/>
    <n v="0.78749999999999998"/>
    <n v="4"/>
    <x v="10"/>
    <s v="Summary: Crossref is a major source of scholarly data for publishers, authors, librarians, funders, and researchers._x000a__x000a_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_x000a__x000a_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_x000a__x000a_My lady, I hope this information is helpful."/>
  </r>
  <r>
    <x v="8"/>
    <n v="0.25"/>
    <n v="0.2"/>
    <n v="0.84444444444444444"/>
    <n v="0.84444444444444444"/>
    <n v="0.5625"/>
    <n v="0"/>
    <x v="12"/>
    <s v="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_x000a__x000a_DOI: 10.48550/arXiv.2404.17663 - OpenAlex is a superset of Scopus and can be a reliable alternative for some analyses, particularly at the country level. However, issues with metadata accuracy and completeness require further research to fully understand and address its limitations._x000a__x000a_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_x000a__x000a_DOI: 10.48550/arXiv.2409.10633 - OpenAlex exhibits more balanced linguistic coverage than Web of Science, but its language metadata is not always accurate. Critical use of OpenAlex can provide comprehensive language analyses, but improvements in metadata quality are needed._x000a__x000a_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_x000a__x000a_DOI: 10.48550/arXiv.2406.15154 - OpenAlex is becoming an important free alternative for bibliometric analyses, but typologies and classifications can differ considerably between databases. The distinction between research and non-research texts may vary depending on the data source._x000a__x000a_My lady, these are the key features and limitations of OpenAlex as a bibliometric database, based on the provided documents."/>
  </r>
  <r>
    <x v="8"/>
    <n v="0.8"/>
    <n v="0.8"/>
    <n v="0.9555555555555556"/>
    <n v="0.9555555555555556"/>
    <n v="0.88749999999999996"/>
    <n v="5"/>
    <x v="12"/>
    <s v="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_x000a__x000a_DOI: 10.48550/arXiv.2404.17663: OpenAlex is a superset of Scopus and can be a reliable alternative for some analyses, particularly at the country level. However, metadata accuracy and completeness issues require further research to fully understand and address its limitations._x000a__x000a_DOI: 10.48550/arXiv.2401.16359: OpenAlex provides comparable reference coverage and metadata to Web of Science and Scopus when restricted to a cleaned dataset of recent publications. However, its rapidly evolving nature raises questions about the trustworthiness of its data._x000a__x000a_DOI: 10.48550/arXiv.2409.10633: OpenAlex exhibits a more balanced linguistic coverage than Web of Science, but its language metadata is not always accurate, leading to overestimation of English and underestimation of other languages._x000a__x000a_DOI: 10.3145/epi.2023.mar.09: OpenAlex has improved upon Microsoft Academic Graph (MAG) in terms of document type specifications and subject classification assignments. It is at least as suited for bibliometric analyses as MAG for publication years before 2021._x000a__x000a_DOI: 10.48550/arXiv.2406.15154: OpenAlex is becoming an increasingly important free alternative to established proprietary providers for bibliometric analyses. However, typologies and distinctions between research and non-research texts can vary considerably between databases._x000a__x000a_My lady, I hope this summary meets your requirements. If you have any further questions or need additional information, please let me know."/>
  </r>
  <r>
    <x v="8"/>
    <n v="0.8"/>
    <n v="0.8"/>
    <n v="0.9555555555555556"/>
    <n v="0.9555555555555556"/>
    <n v="0.88749999999999996"/>
    <n v="5"/>
    <x v="12"/>
    <s v="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_x000a__x000a_DOI: 10.48550/arXiv.2404.17663 - OpenAlex is a superset of Scopus and can be a reliable alternative for some analyses, particularly at the country level. However, issues of metadata accuracy and completeness require further research to fully address its limitations._x000a__x000a_DOI: 10.48550/arXiv.2401.16359 - OpenAlex has comparable reference coverage and internal coverage rates to WoS and Scopus when restricted to a cleaned dataset of recent publications. However, its rapidly evolving nature raises questions about data trustworthiness._x000a__x000a_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_x000a__x000a_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_x000a__x000a_DOI: 10.48550/arXiv.2406.15154 - OpenAlex is becoming an important free alternative to established proprietary providers for bibliometric analyses at libraries and universities. However, typologies and classifications can differ considerably between databases._x000a__x000a_My lady, I hope this summary meets your requirements. If you have any further questions or need additional information, please let me know."/>
  </r>
  <r>
    <x v="8"/>
    <n v="0.8"/>
    <n v="0.8"/>
    <n v="0.9555555555555556"/>
    <n v="0.9555555555555556"/>
    <n v="0.88749999999999996"/>
    <n v="5"/>
    <x v="12"/>
    <s v="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_x000a__x000a_DOI: 10.48550/arXiv.2404.17663 - OpenAlex is a superset of Scopus and can be a reliable alternative for some analyses, particularly at the country level. However, metadata accuracy and completeness require further research to fully address its limitations._x000a__x000a_DOI: 10.48550/arXiv.2401.16359 - OpenAlex provides comparable reference coverage to Web of Science and Scopus but exhibits mixed results in metadata comparisons, capturing more ORCID identifiers but fewer abstracts._x000a__x000a_DOI: 10.48550/arXiv.2409.10633 - OpenAlex offers more balanced linguistic coverage than Web of Science but has inaccurate language metadata, overestimating English and underestimating other languages._x000a__x000a_DOI: 10.3145/epi.2023.mar.09 - OpenAlex preserves bibliographic data from Microsoft Academic Graph and improves document type specifications, making it well-suited for bibliometric analyses for publication years before 2021._x000a__x000a_DOI: 10.48550/arXiv.2406.15154 - OpenAlex is becoming an important free alternative for bibliometric analyses, but publication and document type classifications can vary between databases._x000a__x000a_My lady, I hope this summary meets your requirements. If you have any further questions or need additional information, please let me know."/>
  </r>
  <r>
    <x v="8"/>
    <n v="0.8"/>
    <n v="0.8"/>
    <n v="0.9555555555555556"/>
    <n v="0.9555555555555556"/>
    <n v="0.88749999999999996"/>
    <n v="5"/>
    <x v="12"/>
    <s v="Summary: OpenAlex is a promising open-source bibliometric database that offers comprehensive and inclusive research information, but it has limitations in metadata accuracy and completeness, particularly regarding language coverage._x000a__x000a_DOI: 10.48550/arXiv.2404.17663 - OpenAlex is a superset of Scopus and can be a reliable alternative for some analyses, but issues with metadata accuracy and completeness require further research to fully understand and address its limitations._x000a__x000a_DOI: 10.48550/arXiv.2401.16359 - OpenAlex provides comparable reference coverage to Web of Science and Scopus, but its rapidly evolving nature raises questions about data trustworthiness, and metadata comparisons show mixed results._x000a__x000a_DOI: 10.48550/arXiv.2409.10633 - OpenAlex exhibits more balanced linguistic coverage than Web of Science, but language metadata inaccuracies lead to overestimation of English and underestimation of other languages._x000a__x000a_DOI: 10.3145/epi.2023.mar.09 - OpenAlex preserves bibliographic data from Microsoft Academic Graph and shows improvements in document type specifications, but subject reclassifications require further assessment for field-normalized bibliometric evaluations._x000a__x000a_DOI: 10.48550/arXiv.2406.15154 - OpenAlex is becoming an important free alternative for bibliometric analyses, but publication and document type distinctions vary between databases, highlighting the need for careful consideration in analysis._x000a__x000a_My lady, I hope this summary meets your requirements. If you have any further questions or need additional information, please let me know."/>
  </r>
  <r>
    <x v="9"/>
    <n v="0.4"/>
    <n v="0.4"/>
    <n v="0.8666666666666667"/>
    <n v="0.8666666666666667"/>
    <n v="0.66250000000000009"/>
    <n v="1"/>
    <x v="13"/>
    <s v="Summary: Web of Science (WoS) and Scopus are the main sources of bibliometric information. However, these databases are biased towards English-language publications._x000a__x000a_DOI: 10.1007/s11192-015-1765-5 - WoS and Scopus are biased towards Natural Sciences and Engineering as well as Biomedical Research to the detriment of Social Sciences and Arts and Humanities._x000a__x000a_DOI: 10.48550/arXiv.2409.10633 - WoS is biased towards English-language publications, underestimating the use of other languages in research dissemination._x000a__x000a_My lady, is there anything else I can help you with?"/>
  </r>
  <r>
    <x v="9"/>
    <n v="0.75"/>
    <n v="0.6"/>
    <n v="0.93333333333333335"/>
    <n v="0.93333333333333335"/>
    <n v="0.78749999999999998"/>
    <n v="3"/>
    <x v="13"/>
    <s v="Summary: Web of Science (WoS) is a bibliometric database that has been used for decades, alongside Scopus, as the main source of bibliometric information. However, both databases have been criticised for their biases towards certain disciplines, world regions and languages._x000a__x000a_DOI: 10.1007/s11192-015-1765-5 - WoS and Scopus are the most commonly used bibliometric databases, but both favour Natural Sciences, Engineering and Biomedical Research over Social Sciences and Arts and Humanities. English-language journals are also overrepresented._x000a__x000a_DOI: 10.48550/arXiv.2409.10633 - WoS and Scopus are biased towards English-language publications, underestimating the use of other languages. OpenAlex, a new, open-source database, has more balanced linguistic coverage, but its metadata is not always accurate._x000a__x000a_DOI: 10.48550/arXiv.2404.17663 - WoS and Scopus underrepresent certain disciplines and world regions. OpenAlex, a new database, is a superset of Scopus and can be a reliable alternative for some analyses. However, more research is needed to fully understand and address its limitations._x000a__x000a_My lady, I hope this information is helpful. If you have any further questions, please let me know."/>
  </r>
  <r>
    <x v="9"/>
    <n v="0.75"/>
    <n v="0.6"/>
    <n v="0.93333333333333335"/>
    <n v="0.93333333333333335"/>
    <n v="0.78749999999999998"/>
    <n v="1"/>
    <x v="13"/>
    <s v="Summary: Web of Science (WoS) is a closed, proprietary database that is biased towards English-language publications._x000a__x000a_DOI: 10.48550/arXiv.2409.10633_x000a__x000a_Is there anything else I can help you with, my lady?"/>
  </r>
  <r>
    <x v="9"/>
    <n v="0.75"/>
    <n v="0.6"/>
    <n v="0.93333333333333335"/>
    <n v="0.93333333333333335"/>
    <n v="0.78749999999999998"/>
    <n v="1"/>
    <x v="13"/>
    <s v="Summary: Web of Science (WoS) is a closed, proprietary database that is biased towards English-language publications._x000a__x000a_DOI: 10.48550/arXiv.2409.10633_x000a__x000a_Is there anything else I can help you with, my lady?"/>
  </r>
  <r>
    <x v="9"/>
    <n v="0.75"/>
    <n v="0.6"/>
    <n v="0.93333333333333335"/>
    <n v="0.93333333333333335"/>
    <n v="0.78749999999999998"/>
    <n v="3"/>
    <x v="13"/>
    <s v="Summary: Web of Science (WoS) is a bibliometric database that has been used for decades, alongside Scopus. However, these traditional databases systematically underrepresent certain disciplines and world regions._x000a__x000a_DOI: 10.1007/s11192-015-1765-5 - WoS and Scopus are biased towards Natural Sciences and Engineering as well as Biomedical Research to the detriment of Social Sciences and Arts and Humanities. English-language journals are overrepresented to the detriment of other languages._x000a__x000a_DOI: 10.48550/arXiv.2409.10633 - WoS is largely biased towards English-language publications, underestimating the use of other languages in research dissemination._x000a__x000a_DOI: 10.48550/arXiv.2404.17663 - WoS and Scopus systematically underrepresent certain disciplines and world regions._x000a__x000a_My lady, I hope this information is helpful."/>
  </r>
  <r>
    <x v="10"/>
    <n v="0"/>
    <n v="0"/>
    <n v="0.8"/>
    <n v="0.8"/>
    <n v="0.45"/>
    <n v="0"/>
    <x v="14"/>
    <s v="Summary: Retrieval Augmented Generation (RAG) is a framework for incorporating external knowledge to improve the performance of a downstream task, such as question answering._x000a__x000a_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_x000a__x000a_DOI: 10.48550/arXiv.2505.18247 - Retrieval-Augmented Generation (RAG) struggles with domain-specific enterprise datasets, often isolated behind firewalls and rich in complex, specialized terminology unseen by LLMs during pre-training._x000a__x000a_My lady, I hope this information is helpful."/>
  </r>
  <r>
    <x v="10"/>
    <n v="1"/>
    <n v="1"/>
    <n v="1"/>
    <n v="1"/>
    <n v="1"/>
    <n v="5"/>
    <x v="14"/>
    <s v="Summary: Retrieval-Augmented Generation (RAG) is a framework that incorporates external knowledge into a prompt for a large language model (LLM) to improve the performance of downstream tasks, such as question answering and information retrieval._x000a__x000a_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_x000a__x000a_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_x000a__x000a_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_x000a__x000a_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_x000a__x000a_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_x000a__x000a_My lady, I hope this information is helpful. If you have any further questions or need more details, please let me know."/>
  </r>
  <r>
    <x v="10"/>
    <n v="1"/>
    <n v="1"/>
    <n v="1"/>
    <n v="1"/>
    <n v="1"/>
    <n v="5"/>
    <x v="14"/>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study investigates the role of relevance in RAG for knowledge-intensive language tasks, finding a small positive correlation between relevance and utility, which decreases with larger context sizes._x000a__x000a_DOI: 10.6109/jkiice.2023.27.12.1489: This paper proposes Metadata Retrieval-Augmented Generation (M-RAG) for effective search in open-domain Question Answering (ODQA) systems, achieving up to 46% performance improvement compared to traditional ODQA systems._x000a__x000a_DOI: 10.48550/arXiv.2406.13213: This study introduces Multi-Meta-RAG, a method that uses database filtering with LLM-extracted metadata to improve RAG's selection of relevant documents for multi-hop queries._x000a__x000a_DOI: 10.1109/ACCESS.2024.3395449: This paper employs a RAG model to generate answers and expand new questions with corresponding answers, achieving state-of-the-art performance in question retrieval._x000a__x000a_DOI: 10.48550/arXiv.2505.18247: This study introduces MetaGen Blended RAG, a novel enterprise search approach that enhances semantic retrievers through a metadata generation pipeline, achieving high retrieval accuracy on specialized domain datasets._x000a__x000a_My lady, I hope this information is helpful. If you have any further questions or would like more details on a specific study, please let me know."/>
  </r>
  <r>
    <x v="10"/>
    <n v="1"/>
    <n v="1"/>
    <n v="1"/>
    <n v="1"/>
    <n v="1"/>
    <n v="5"/>
    <x v="14"/>
    <s v="Summary: Retrieval Augmented Generation (RAG) is a framework that incorporates external knowledge to improve the performance of a downstream task, such as question answering._x000a__x000a_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The main goal of a CQA is to provide the most suitable answer in the shortest possible time._x000a__x000a_DOI: 10.48550/arXiv.2505.18247 - Retrieval-Augmented Generation (RAG) struggles with domain-specific enterprise datasets, often isolated behind firewalls and rich in complex, specialized terminology unseen by LLMs during pre-training._x000a__x000a_My lady, is there anything else I can help you with?"/>
  </r>
  <r>
    <x v="10"/>
    <n v="1"/>
    <n v="1"/>
    <n v="1"/>
    <n v="1"/>
    <n v="1"/>
    <n v="5"/>
    <x v="14"/>
    <s v="Summary: Retrieval-Augmented Generation (RAG) is a framework that incorporates external knowledge into prompts for large language models (LLMs) to improve performance on downstream tasks, such as question answering and information retrieval._x000a__x000a_DOI: 10.1007/978-3-031-88708-6_3_x000a_RAG maximises the total utility of documents, where utility refers to whether including a document in an LLM prompt improves downstream task performance. Studies have found a small positive correlation between relevance and utility, which decreases with larger context sizes._x000a__x000a_DOI: 10.6109/jkiice.2023.27.12.1489_x000a_Metadata Retrieval-Augmented Generation (M-RAG) is a method that utilises embeddings with metadata and generative models to improve search in open-domain question answering systems. This approach has shown a 46% performance improvement compared to a baseline system._x000a__x000a_DOI: 10.48550/arXiv.2406.13213_x000a_Multi-Meta-RAG is a method that uses database filtering with LLM-extracted metadata to improve RAG's selection of relevant documents for multi-hop queries. This approach has shown significant improvements on the MultiHop-RAG benchmark._x000a__x000a_DOI: 10.1109/ACCESS.2024.3395449_x000a_A method using metadata and transformer-based techniques to improve question retrieval in community question answering forums has achieved a 51.47 MAP score, outperforming state-of-the-art approaches._x000a__x000a_DOI: 10.48550/arXiv.2505.18247_x000a_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_x000a__x000a_My lady, I hope this information is helpful. If you have any further questions or would like more details on a specific DOI, please let me know."/>
  </r>
  <r>
    <x v="11"/>
    <n v="0"/>
    <n v="0"/>
    <n v="0.77777777777777779"/>
    <n v="0.77777777777777779"/>
    <n v="0.4375"/>
    <n v="0"/>
    <x v="15"/>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would you like me to provide further information on this topic?"/>
  </r>
  <r>
    <x v="11"/>
    <n v="1"/>
    <n v="0.2"/>
    <n v="0.91111111111111109"/>
    <n v="0.91111111111111109"/>
    <n v="0.6"/>
    <n v="1"/>
    <x v="15"/>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_x000a__x000a_My lady, I hope this helps."/>
  </r>
  <r>
    <x v="11"/>
    <n v="1"/>
    <n v="0.2"/>
    <n v="0.91111111111111109"/>
    <n v="0.91111111111111109"/>
    <n v="0.6"/>
    <n v="1"/>
    <x v="15"/>
    <s v="Summary: Normalizing citation metrics across scientific fields is challenging due to differences in citation practices, publication rates, and field-specific factors._x000a__x000a_DOI: 10.1371/journal.pbio.1002542 - This article discusses the challenges of normalizing citation metrics across scientific fields, highlighting the need to account for differences in citation practices, publication rates, and field-specific factors._x000a__x000a_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_x000a__x000a_Is there anything else I can help you with, my lady?"/>
  </r>
  <r>
    <x v="11"/>
    <n v="1"/>
    <n v="0.2"/>
    <n v="0.91111111111111109"/>
    <n v="0.91111111111111109"/>
    <n v="0.6"/>
    <n v="1"/>
    <x v="15"/>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r>
  <r>
    <x v="11"/>
    <n v="1"/>
    <n v="0.2"/>
    <n v="0.91111111111111109"/>
    <n v="0.91111111111111109"/>
    <n v="0.6"/>
    <n v="1"/>
    <x v="15"/>
    <s v="Summary: The main challenges in normalizing citation metrics across scientific fields include accounting for differences in age (year of publication), type of document, database coverage, and other factors._x000a__x000a_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I hope this response is helpful. If you have any further questions, please let me know."/>
  </r>
  <r>
    <x v="12"/>
    <n v="0"/>
    <n v="0"/>
    <n v="0.8666666666666667"/>
    <n v="0.8666666666666667"/>
    <n v="0.48749999999999999"/>
    <n v="0"/>
    <x v="16"/>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r>
  <r>
    <x v="12"/>
    <n v="0.66666666666666663"/>
    <n v="0.4"/>
    <n v="0.91111111111111109"/>
    <n v="0.91111111111111109"/>
    <n v="0.6875"/>
    <n v="3"/>
    <x v="16"/>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r>
  <r>
    <x v="12"/>
    <n v="0.66666666666666663"/>
    <n v="0.4"/>
    <n v="0.91111111111111109"/>
    <n v="0.91111111111111109"/>
    <n v="0.6875"/>
    <n v="3"/>
    <x v="16"/>
    <s v="Summary: There are several methods used to detect and correct errors in bibliographic datasets._x000a__x000a_DOI: 10.5281/ZENODO.13960973 - A method to detect errors in a dataset using missing data patterns._x000a__x000a_DOI: 10.48550/arXiv.2303.17661 - MetaEnhance, a framework that utilizes state-of-the-art artificial intelligence methods to improve the quality of metadata._x000a__x000a_DOI: 10.1007/s11192-022-04367-w - Identifying and correcting invalid citations due to DOI errors in Crossref data._x000a__x000a_My lady, I hope this information is helpful. If you have any further questions, please let me know."/>
  </r>
  <r>
    <x v="12"/>
    <n v="0.66666666666666663"/>
    <n v="0.4"/>
    <n v="0.91111111111111109"/>
    <n v="0.91111111111111109"/>
    <n v="0.6875"/>
    <n v="3"/>
    <x v="16"/>
    <s v="Summary: There are several methods used to detect and correct errors in bibliographic datasets._x000a__x000a_DOI: 10.5281/ZENODO.13960973 - A method to detect errors in a dataset using missing data patterns._x000a__x000a_DOI: 10.48550/arXiv.2303.17661 - A framework that utilizes state-of-the-art artificial intelligence methods to improve the quality of metadata fields._x000a__x000a_DOI: 10.1007/s11192-022-04367-w - Identifying and correcting invalid citations due to DOI errors in Crossref data._x000a__x000a_My lady, I hope this information is helpful. If you have any further questions, please let me know."/>
  </r>
  <r>
    <x v="12"/>
    <n v="0.66666666666666663"/>
    <n v="0.4"/>
    <n v="0.91111111111111109"/>
    <n v="0.91111111111111109"/>
    <n v="0.6875"/>
    <n v="3"/>
    <x v="16"/>
    <s v="Summary: There are several methods used to detect and correct errors in bibliographic datasets._x000a__x000a_DOI: 10.5281/ZENODO.13960973 - Missing data patterns are used to detect errors in a dataset._x000a__x000a_DOI: 10.48550/arXiv.2303.17661 - MetaEnhance is a framework that uses artificial intelligence methods to improve the quality of metadata fields._x000a__x000a_DOI: 10.1007/s11192-022-04367-w - Regular expressions are used to identify and correct invalid citations due to DOI errors in Crossref data._x000a__x000a_My lady, I hope this information is helpful. If you have any further questions, please let me know."/>
  </r>
  <r>
    <x v="13"/>
    <n v="0"/>
    <n v="0"/>
    <n v="0.82222222222222219"/>
    <n v="0.82222222222222219"/>
    <n v="0.46250000000000002"/>
    <n v="0"/>
    <x v="17"/>
    <s v="Summary: Retrieval-Augmented Generation (RAG) is a framework for incorporating external knowledge into a large language model (LLM) to improve the performance of a downstream task._x000a__x000a_DOI: 10.1007/978-3-031-88708-6_3_x000a__x000a_My lady, I have found some information about how RAG works._x000a_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_x000a__x000a_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_x000a__x000a_Is there anything else I can help you with?"/>
  </r>
  <r>
    <x v="13"/>
    <n v="0.8"/>
    <n v="0.8"/>
    <n v="0.9555555555555556"/>
    <n v="0.9555555555555556"/>
    <n v="0.88749999999999996"/>
    <n v="5"/>
    <x v="17"/>
    <s v="Summary: Retrieval-Augmented Generation (RAG) is a framework for incorporating external knowledge into Large Language Models (LLMs) to improve performance on downstream tasks.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_x000a__x000a_DOI: 10.48550/arXiv.2406.13213_x000a_RAG enables retrieval of relevant information from an external knowledge source and allows large language models (LLMs) to answer queries over previously unseen document collections.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r>
  <r>
    <x v="13"/>
    <n v="0.8"/>
    <n v="0.8"/>
    <n v="0.9555555555555556"/>
    <n v="0.9555555555555556"/>
    <n v="0.88749999999999996"/>
    <n v="5"/>
    <x v="17"/>
    <s v="Summary: Retrieval-Augmented Generation (RAG) is a framework for incorporating external knowledge into a large language model (LLM)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s there anything else I can help you with?"/>
  </r>
  <r>
    <x v="13"/>
    <n v="0.8"/>
    <n v="0.8"/>
    <n v="0.9555555555555556"/>
    <n v="0.9555555555555556"/>
    <n v="0.88749999999999996"/>
    <n v="5"/>
    <x v="17"/>
    <s v="Summary: Retrieval-Augmented Generation (RAG) is a framework that incorporates external knowledge to enhance the performance of downstream tasks in large language models (LLMs)._x000a__x000a_DOI: 10.1007/978-3-031-88708-6_3_x000a_RAG's objective is to maximise the total utility of retrieved documents, where utility refers to the improvement in downstream task performance when a document is included as additional contextual information in an LLM prompt._x000a__x000a_DOI: 10.48550/arXiv.2312.10997_x000a_RAG addresses challenges in LLMs such as hallucination, outdated knowledge, and non-transparent reasoning by incorporating knowledge from external databases, thereby enhancing accuracy and credibility in knowledge-intensive tasks._x000a__x000a_DOI: 10.48550/arXiv.2505.18247_x000a_RAG struggles with domain-specific datasets due to semantic variability, but MetaGen Blended RAG introduces a novel approach to enhance semantic retrievers, achieving high accuracy on specialised datasets without fine-tuning._x000a__x000a_DOI: 10.48550/arXiv.2406.13213_x000a_RAG's traditional applications perform poorly on multi-hop questions, but Multi-Meta-RAG improves document selection using database filtering with LLM-extracted metadata, significantly enhancing performance on multi-hop queries._x000a__x000a_DOI: 10.48550/arXiv.2404.13948_x000a_RAG's robustness is vulnerable to noisy documents and minor textual errors, as demonstrated by the Genetic Attack on RAG (GARAG), which highlights the risks of real-world database inaccuracies on RAG systems._x000a__x000a_My lady, I hope this information is helpful. If you have any further questions, please let me know."/>
  </r>
  <r>
    <x v="13"/>
    <n v="0.8"/>
    <n v="0.8"/>
    <n v="0.9555555555555556"/>
    <n v="0.9555555555555556"/>
    <n v="0.88749999999999996"/>
    <n v="5"/>
    <x v="17"/>
    <s v="Summary: Retrieval-Augmented Generation (RAG) is a framework that incorporates external knowledge to enhance the performance of large language models (LLMs) in downstream tasks, such as question answering._x000a__x000a_DOI: 10.1007/978-3-031-88708-6_3: RAG aims to maximise the total utility of retrieved documents by including them as additional contextual information in LLM prompts, thereby improving downstream task performance._x000a__x000a_DOI: 10.48550/arXiv.2312.10997 : RAG addresses challenges faced by LLMs, such as hallucination and outdated knowledge, by integrating external databases, thus enhancing accuracy and credibility._x000a__x000a_DOI: 10.48550/arXiv.2505.18247 : RAG struggles with domain-specific datasets, but MetaGen Blended RAG offers a novel solution by enhancing semantic retrievers, achieving high accuracy on specialised datasets._x000a__x000a_DOI: 10.48550/arXiv.2406.13213 : Multi-Meta-RAG improves RAG for multi-hop queries by using database filtering with LLM-extracted metadata, thereby enhancing document selection._x000a__x000a_DOI: 10.48550/arXiv.2404.13948 : RAG's robustness is vulnerable to noisy documents, and the Genetic Attack on RAG (GARAG) method highlights these vulnerabilities, emphasising the need for robust RAG systems._x000a__x000a_My lady, I hope this information is helpful. If you have any further questions, please let me kn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x v="0"/>
  </r>
  <r>
    <x v="0"/>
    <x v="0"/>
  </r>
  <r>
    <x v="0"/>
    <x v="0"/>
  </r>
  <r>
    <x v="0"/>
    <x v="0"/>
  </r>
  <r>
    <x v="0"/>
    <x v="0"/>
  </r>
  <r>
    <x v="1"/>
    <x v="1"/>
  </r>
  <r>
    <x v="1"/>
    <x v="1"/>
  </r>
  <r>
    <x v="1"/>
    <x v="1"/>
  </r>
  <r>
    <x v="1"/>
    <x v="1"/>
  </r>
  <r>
    <x v="1"/>
    <x v="1"/>
  </r>
  <r>
    <x v="2"/>
    <x v="2"/>
  </r>
  <r>
    <x v="2"/>
    <x v="2"/>
  </r>
  <r>
    <x v="2"/>
    <x v="2"/>
  </r>
  <r>
    <x v="2"/>
    <x v="2"/>
  </r>
  <r>
    <x v="2"/>
    <x v="2"/>
  </r>
  <r>
    <x v="3"/>
    <x v="3"/>
  </r>
  <r>
    <x v="3"/>
    <x v="3"/>
  </r>
  <r>
    <x v="4"/>
    <x v="3"/>
  </r>
  <r>
    <x v="3"/>
    <x v="3"/>
  </r>
  <r>
    <x v="3"/>
    <x v="3"/>
  </r>
  <r>
    <x v="5"/>
    <x v="4"/>
  </r>
  <r>
    <x v="5"/>
    <x v="4"/>
  </r>
  <r>
    <x v="5"/>
    <x v="4"/>
  </r>
  <r>
    <x v="5"/>
    <x v="4"/>
  </r>
  <r>
    <x v="5"/>
    <x v="4"/>
  </r>
  <r>
    <x v="6"/>
    <x v="5"/>
  </r>
  <r>
    <x v="6"/>
    <x v="5"/>
  </r>
  <r>
    <x v="6"/>
    <x v="5"/>
  </r>
  <r>
    <x v="6"/>
    <x v="5"/>
  </r>
  <r>
    <x v="6"/>
    <x v="5"/>
  </r>
  <r>
    <x v="7"/>
    <x v="6"/>
  </r>
  <r>
    <x v="7"/>
    <x v="6"/>
  </r>
  <r>
    <x v="7"/>
    <x v="6"/>
  </r>
  <r>
    <x v="7"/>
    <x v="6"/>
  </r>
  <r>
    <x v="7"/>
    <x v="6"/>
  </r>
  <r>
    <x v="8"/>
    <x v="3"/>
  </r>
  <r>
    <x v="8"/>
    <x v="3"/>
  </r>
  <r>
    <x v="8"/>
    <x v="3"/>
  </r>
  <r>
    <x v="8"/>
    <x v="3"/>
  </r>
  <r>
    <x v="8"/>
    <x v="3"/>
  </r>
  <r>
    <x v="9"/>
    <x v="7"/>
  </r>
  <r>
    <x v="9"/>
    <x v="7"/>
  </r>
  <r>
    <x v="9"/>
    <x v="7"/>
  </r>
  <r>
    <x v="9"/>
    <x v="7"/>
  </r>
  <r>
    <x v="9"/>
    <x v="7"/>
  </r>
  <r>
    <x v="10"/>
    <x v="8"/>
  </r>
  <r>
    <x v="10"/>
    <x v="8"/>
  </r>
  <r>
    <x v="10"/>
    <x v="8"/>
  </r>
  <r>
    <x v="10"/>
    <x v="8"/>
  </r>
  <r>
    <x v="10"/>
    <x v="8"/>
  </r>
  <r>
    <x v="11"/>
    <x v="9"/>
  </r>
  <r>
    <x v="11"/>
    <x v="9"/>
  </r>
  <r>
    <x v="11"/>
    <x v="9"/>
  </r>
  <r>
    <x v="11"/>
    <x v="9"/>
  </r>
  <r>
    <x v="11"/>
    <x v="9"/>
  </r>
  <r>
    <x v="12"/>
    <x v="10"/>
  </r>
  <r>
    <x v="12"/>
    <x v="10"/>
  </r>
  <r>
    <x v="12"/>
    <x v="10"/>
  </r>
  <r>
    <x v="12"/>
    <x v="10"/>
  </r>
  <r>
    <x v="12"/>
    <x v="10"/>
  </r>
  <r>
    <x v="13"/>
    <x v="11"/>
  </r>
  <r>
    <x v="13"/>
    <x v="11"/>
  </r>
  <r>
    <x v="13"/>
    <x v="11"/>
  </r>
  <r>
    <x v="13"/>
    <x v="11"/>
  </r>
  <r>
    <x v="13"/>
    <x v="11"/>
  </r>
  <r>
    <x v="14"/>
    <x v="9"/>
  </r>
  <r>
    <x v="14"/>
    <x v="9"/>
  </r>
  <r>
    <x v="14"/>
    <x v="9"/>
  </r>
  <r>
    <x v="14"/>
    <x v="9"/>
  </r>
  <r>
    <x v="14"/>
    <x v="9"/>
  </r>
  <r>
    <x v="15"/>
    <x v="12"/>
  </r>
  <r>
    <x v="15"/>
    <x v="12"/>
  </r>
  <r>
    <x v="16"/>
    <x v="12"/>
  </r>
  <r>
    <x v="15"/>
    <x v="12"/>
  </r>
  <r>
    <x v="15"/>
    <x v="12"/>
  </r>
  <r>
    <x v="17"/>
    <x v="13"/>
  </r>
  <r>
    <x v="17"/>
    <x v="13"/>
  </r>
  <r>
    <x v="17"/>
    <x v="13"/>
  </r>
  <r>
    <x v="17"/>
    <x v="13"/>
  </r>
  <r>
    <x v="17"/>
    <x v="13"/>
  </r>
  <r>
    <x v="18"/>
    <x v="4"/>
  </r>
  <r>
    <x v="18"/>
    <x v="4"/>
  </r>
  <r>
    <x v="18"/>
    <x v="4"/>
  </r>
  <r>
    <x v="18"/>
    <x v="4"/>
  </r>
  <r>
    <x v="18"/>
    <x v="4"/>
  </r>
  <r>
    <x v="19"/>
    <x v="14"/>
  </r>
  <r>
    <x v="19"/>
    <x v="14"/>
  </r>
  <r>
    <x v="20"/>
    <x v="14"/>
  </r>
  <r>
    <x v="19"/>
    <x v="14"/>
  </r>
  <r>
    <x v="19"/>
    <x v="14"/>
  </r>
  <r>
    <x v="21"/>
    <x v="0"/>
  </r>
  <r>
    <x v="21"/>
    <x v="0"/>
  </r>
  <r>
    <x v="21"/>
    <x v="0"/>
  </r>
  <r>
    <x v="21"/>
    <x v="0"/>
  </r>
  <r>
    <x v="21"/>
    <x v="0"/>
  </r>
  <r>
    <x v="22"/>
    <x v="14"/>
  </r>
  <r>
    <x v="22"/>
    <x v="14"/>
  </r>
  <r>
    <x v="22"/>
    <x v="14"/>
  </r>
  <r>
    <x v="22"/>
    <x v="14"/>
  </r>
  <r>
    <x v="22"/>
    <x v="14"/>
  </r>
  <r>
    <x v="23"/>
    <x v="15"/>
  </r>
  <r>
    <x v="23"/>
    <x v="15"/>
  </r>
  <r>
    <x v="23"/>
    <x v="15"/>
  </r>
  <r>
    <x v="23"/>
    <x v="15"/>
  </r>
  <r>
    <x v="23"/>
    <x v="15"/>
  </r>
  <r>
    <x v="24"/>
    <x v="16"/>
  </r>
  <r>
    <x v="24"/>
    <x v="16"/>
  </r>
  <r>
    <x v="24"/>
    <x v="16"/>
  </r>
  <r>
    <x v="25"/>
    <x v="16"/>
  </r>
  <r>
    <x v="24"/>
    <x v="16"/>
  </r>
  <r>
    <x v="26"/>
    <x v="2"/>
  </r>
  <r>
    <x v="26"/>
    <x v="2"/>
  </r>
  <r>
    <x v="26"/>
    <x v="2"/>
  </r>
  <r>
    <x v="26"/>
    <x v="2"/>
  </r>
  <r>
    <x v="26"/>
    <x v="2"/>
  </r>
  <r>
    <x v="27"/>
    <x v="13"/>
  </r>
  <r>
    <x v="27"/>
    <x v="13"/>
  </r>
  <r>
    <x v="27"/>
    <x v="13"/>
  </r>
  <r>
    <x v="27"/>
    <x v="13"/>
  </r>
  <r>
    <x v="27"/>
    <x v="13"/>
  </r>
  <r>
    <x v="28"/>
    <x v="17"/>
  </r>
  <r>
    <x v="28"/>
    <x v="17"/>
  </r>
  <r>
    <x v="28"/>
    <x v="17"/>
  </r>
  <r>
    <x v="28"/>
    <x v="17"/>
  </r>
  <r>
    <x v="28"/>
    <x v="17"/>
  </r>
  <r>
    <x v="29"/>
    <x v="12"/>
  </r>
  <r>
    <x v="29"/>
    <x v="12"/>
  </r>
  <r>
    <x v="29"/>
    <x v="12"/>
  </r>
  <r>
    <x v="29"/>
    <x v="12"/>
  </r>
  <r>
    <x v="29"/>
    <x v="12"/>
  </r>
  <r>
    <x v="30"/>
    <x v="6"/>
  </r>
  <r>
    <x v="30"/>
    <x v="6"/>
  </r>
  <r>
    <x v="30"/>
    <x v="6"/>
  </r>
  <r>
    <x v="30"/>
    <x v="6"/>
  </r>
  <r>
    <x v="30"/>
    <x v="6"/>
  </r>
  <r>
    <x v="31"/>
    <x v="1"/>
  </r>
  <r>
    <x v="31"/>
    <x v="1"/>
  </r>
  <r>
    <x v="31"/>
    <x v="1"/>
  </r>
  <r>
    <x v="31"/>
    <x v="1"/>
  </r>
  <r>
    <x v="31"/>
    <x v="1"/>
  </r>
  <r>
    <x v="32"/>
    <x v="18"/>
  </r>
  <r>
    <x v="32"/>
    <x v="18"/>
  </r>
  <r>
    <x v="32"/>
    <x v="18"/>
  </r>
  <r>
    <x v="32"/>
    <x v="18"/>
  </r>
  <r>
    <x v="32"/>
    <x v="18"/>
  </r>
  <r>
    <x v="33"/>
    <x v="19"/>
  </r>
  <r>
    <x v="33"/>
    <x v="19"/>
  </r>
  <r>
    <x v="33"/>
    <x v="19"/>
  </r>
  <r>
    <x v="33"/>
    <x v="19"/>
  </r>
  <r>
    <x v="33"/>
    <x v="19"/>
  </r>
  <r>
    <x v="34"/>
    <x v="20"/>
  </r>
  <r>
    <x v="34"/>
    <x v="20"/>
  </r>
  <r>
    <x v="34"/>
    <x v="20"/>
  </r>
  <r>
    <x v="34"/>
    <x v="20"/>
  </r>
  <r>
    <x v="34"/>
    <x v="20"/>
  </r>
  <r>
    <x v="35"/>
    <x v="14"/>
  </r>
  <r>
    <x v="35"/>
    <x v="14"/>
  </r>
  <r>
    <x v="35"/>
    <x v="14"/>
  </r>
  <r>
    <x v="35"/>
    <x v="14"/>
  </r>
  <r>
    <x v="35"/>
    <x v="14"/>
  </r>
  <r>
    <x v="36"/>
    <x v="5"/>
  </r>
  <r>
    <x v="36"/>
    <x v="5"/>
  </r>
  <r>
    <x v="36"/>
    <x v="5"/>
  </r>
  <r>
    <x v="36"/>
    <x v="5"/>
  </r>
  <r>
    <x v="36"/>
    <x v="5"/>
  </r>
  <r>
    <x v="37"/>
    <x v="21"/>
  </r>
  <r>
    <x v="37"/>
    <x v="21"/>
  </r>
  <r>
    <x v="38"/>
    <x v="21"/>
  </r>
  <r>
    <x v="37"/>
    <x v="21"/>
  </r>
  <r>
    <x v="37"/>
    <x v="21"/>
  </r>
  <r>
    <x v="39"/>
    <x v="7"/>
  </r>
  <r>
    <x v="39"/>
    <x v="7"/>
  </r>
  <r>
    <x v="39"/>
    <x v="7"/>
  </r>
  <r>
    <x v="39"/>
    <x v="7"/>
  </r>
  <r>
    <x v="39"/>
    <x v="7"/>
  </r>
  <r>
    <x v="40"/>
    <x v="22"/>
  </r>
  <r>
    <x v="40"/>
    <x v="22"/>
  </r>
  <r>
    <x v="41"/>
    <x v="22"/>
  </r>
  <r>
    <x v="40"/>
    <x v="22"/>
  </r>
  <r>
    <x v="40"/>
    <x v="22"/>
  </r>
  <r>
    <x v="42"/>
    <x v="23"/>
  </r>
  <r>
    <x v="42"/>
    <x v="23"/>
  </r>
  <r>
    <x v="42"/>
    <x v="23"/>
  </r>
  <r>
    <x v="42"/>
    <x v="23"/>
  </r>
  <r>
    <x v="43"/>
    <x v="24"/>
  </r>
  <r>
    <x v="44"/>
    <x v="22"/>
  </r>
  <r>
    <x v="44"/>
    <x v="22"/>
  </r>
  <r>
    <x v="44"/>
    <x v="22"/>
  </r>
  <r>
    <x v="44"/>
    <x v="22"/>
  </r>
  <r>
    <x v="44"/>
    <x v="22"/>
  </r>
  <r>
    <x v="45"/>
    <x v="19"/>
  </r>
  <r>
    <x v="45"/>
    <x v="19"/>
  </r>
  <r>
    <x v="45"/>
    <x v="19"/>
  </r>
  <r>
    <x v="45"/>
    <x v="19"/>
  </r>
  <r>
    <x v="45"/>
    <x v="19"/>
  </r>
  <r>
    <x v="46"/>
    <x v="14"/>
  </r>
  <r>
    <x v="46"/>
    <x v="14"/>
  </r>
  <r>
    <x v="46"/>
    <x v="14"/>
  </r>
  <r>
    <x v="47"/>
    <x v="14"/>
  </r>
  <r>
    <x v="46"/>
    <x v="14"/>
  </r>
  <r>
    <x v="48"/>
    <x v="4"/>
  </r>
  <r>
    <x v="48"/>
    <x v="4"/>
  </r>
  <r>
    <x v="48"/>
    <x v="4"/>
  </r>
  <r>
    <x v="48"/>
    <x v="4"/>
  </r>
  <r>
    <x v="48"/>
    <x v="4"/>
  </r>
  <r>
    <x v="49"/>
    <x v="4"/>
  </r>
  <r>
    <x v="49"/>
    <x v="4"/>
  </r>
  <r>
    <x v="49"/>
    <x v="4"/>
  </r>
  <r>
    <x v="49"/>
    <x v="4"/>
  </r>
  <r>
    <x v="49"/>
    <x v="4"/>
  </r>
  <r>
    <x v="50"/>
    <x v="19"/>
  </r>
  <r>
    <x v="50"/>
    <x v="19"/>
  </r>
  <r>
    <x v="50"/>
    <x v="19"/>
  </r>
  <r>
    <x v="50"/>
    <x v="19"/>
  </r>
  <r>
    <x v="50"/>
    <x v="19"/>
  </r>
  <r>
    <x v="51"/>
    <x v="25"/>
  </r>
  <r>
    <x v="51"/>
    <x v="25"/>
  </r>
  <r>
    <x v="51"/>
    <x v="25"/>
  </r>
  <r>
    <x v="51"/>
    <x v="25"/>
  </r>
  <r>
    <x v="51"/>
    <x v="25"/>
  </r>
  <r>
    <x v="52"/>
    <x v="1"/>
  </r>
  <r>
    <x v="52"/>
    <x v="1"/>
  </r>
  <r>
    <x v="53"/>
    <x v="1"/>
  </r>
  <r>
    <x v="52"/>
    <x v="1"/>
  </r>
  <r>
    <x v="52"/>
    <x v="1"/>
  </r>
  <r>
    <x v="54"/>
    <x v="2"/>
  </r>
  <r>
    <x v="54"/>
    <x v="2"/>
  </r>
  <r>
    <x v="54"/>
    <x v="2"/>
  </r>
  <r>
    <x v="54"/>
    <x v="2"/>
  </r>
  <r>
    <x v="54"/>
    <x v="2"/>
  </r>
  <r>
    <x v="55"/>
    <x v="26"/>
  </r>
  <r>
    <x v="55"/>
    <x v="26"/>
  </r>
  <r>
    <x v="55"/>
    <x v="26"/>
  </r>
  <r>
    <x v="55"/>
    <x v="26"/>
  </r>
  <r>
    <x v="55"/>
    <x v="26"/>
  </r>
  <r>
    <x v="56"/>
    <x v="27"/>
  </r>
  <r>
    <x v="56"/>
    <x v="27"/>
  </r>
  <r>
    <x v="56"/>
    <x v="27"/>
  </r>
  <r>
    <x v="56"/>
    <x v="27"/>
  </r>
  <r>
    <x v="56"/>
    <x v="27"/>
  </r>
  <r>
    <x v="57"/>
    <x v="22"/>
  </r>
  <r>
    <x v="57"/>
    <x v="22"/>
  </r>
  <r>
    <x v="57"/>
    <x v="22"/>
  </r>
  <r>
    <x v="58"/>
    <x v="22"/>
  </r>
  <r>
    <x v="57"/>
    <x v="22"/>
  </r>
  <r>
    <x v="59"/>
    <x v="25"/>
  </r>
  <r>
    <x v="59"/>
    <x v="25"/>
  </r>
  <r>
    <x v="59"/>
    <x v="25"/>
  </r>
  <r>
    <x v="59"/>
    <x v="25"/>
  </r>
  <r>
    <x v="59"/>
    <x v="25"/>
  </r>
  <r>
    <x v="60"/>
    <x v="7"/>
  </r>
  <r>
    <x v="60"/>
    <x v="7"/>
  </r>
  <r>
    <x v="60"/>
    <x v="7"/>
  </r>
  <r>
    <x v="60"/>
    <x v="7"/>
  </r>
  <r>
    <x v="60"/>
    <x v="7"/>
  </r>
  <r>
    <x v="61"/>
    <x v="28"/>
  </r>
  <r>
    <x v="61"/>
    <x v="28"/>
  </r>
  <r>
    <x v="61"/>
    <x v="28"/>
  </r>
  <r>
    <x v="61"/>
    <x v="28"/>
  </r>
  <r>
    <x v="61"/>
    <x v="28"/>
  </r>
  <r>
    <x v="62"/>
    <x v="23"/>
  </r>
  <r>
    <x v="62"/>
    <x v="23"/>
  </r>
  <r>
    <x v="62"/>
    <x v="23"/>
  </r>
  <r>
    <x v="62"/>
    <x v="23"/>
  </r>
  <r>
    <x v="62"/>
    <x v="23"/>
  </r>
  <r>
    <x v="63"/>
    <x v="5"/>
  </r>
  <r>
    <x v="63"/>
    <x v="5"/>
  </r>
  <r>
    <x v="63"/>
    <x v="5"/>
  </r>
  <r>
    <x v="63"/>
    <x v="5"/>
  </r>
  <r>
    <x v="63"/>
    <x v="5"/>
  </r>
  <r>
    <x v="64"/>
    <x v="8"/>
  </r>
  <r>
    <x v="64"/>
    <x v="8"/>
  </r>
  <r>
    <x v="64"/>
    <x v="8"/>
  </r>
  <r>
    <x v="64"/>
    <x v="8"/>
  </r>
  <r>
    <x v="64"/>
    <x v="8"/>
  </r>
  <r>
    <x v="65"/>
    <x v="0"/>
  </r>
  <r>
    <x v="65"/>
    <x v="0"/>
  </r>
  <r>
    <x v="65"/>
    <x v="0"/>
  </r>
  <r>
    <x v="65"/>
    <x v="0"/>
  </r>
  <r>
    <x v="65"/>
    <x v="0"/>
  </r>
  <r>
    <x v="66"/>
    <x v="20"/>
  </r>
  <r>
    <x v="66"/>
    <x v="20"/>
  </r>
  <r>
    <x v="66"/>
    <x v="20"/>
  </r>
  <r>
    <x v="66"/>
    <x v="20"/>
  </r>
  <r>
    <x v="66"/>
    <x v="20"/>
  </r>
  <r>
    <x v="67"/>
    <x v="29"/>
  </r>
  <r>
    <x v="67"/>
    <x v="29"/>
  </r>
  <r>
    <x v="67"/>
    <x v="29"/>
  </r>
  <r>
    <x v="67"/>
    <x v="29"/>
  </r>
  <r>
    <x v="67"/>
    <x v="29"/>
  </r>
  <r>
    <x v="68"/>
    <x v="18"/>
  </r>
  <r>
    <x v="68"/>
    <x v="18"/>
  </r>
  <r>
    <x v="68"/>
    <x v="18"/>
  </r>
  <r>
    <x v="68"/>
    <x v="18"/>
  </r>
  <r>
    <x v="68"/>
    <x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n v="0.6"/>
    <n v="0.6"/>
    <n v="0.91111111111111109"/>
    <n v="0.91111111111111109"/>
    <n v="0.77499999999999991"/>
    <n v="4"/>
  </r>
  <r>
    <x v="0"/>
    <n v="0.6"/>
    <n v="0.6"/>
    <n v="0.91111111111111109"/>
    <n v="0.91111111111111109"/>
    <n v="0.77499999999999991"/>
    <n v="4"/>
  </r>
  <r>
    <x v="0"/>
    <n v="0.6"/>
    <n v="0.6"/>
    <n v="0.91111111111111109"/>
    <n v="0.91111111111111109"/>
    <n v="0.77499999999999991"/>
    <n v="4"/>
  </r>
  <r>
    <x v="0"/>
    <n v="0.6"/>
    <n v="0.6"/>
    <n v="0.91111111111111109"/>
    <n v="0.91111111111111109"/>
    <n v="0.77499999999999991"/>
    <n v="4"/>
  </r>
  <r>
    <x v="0"/>
    <n v="0.6"/>
    <n v="0.6"/>
    <n v="0.91111111111111109"/>
    <n v="0.91111111111111109"/>
    <n v="0.77499999999999991"/>
    <n v="4"/>
  </r>
  <r>
    <x v="1"/>
    <n v="0"/>
    <n v="0"/>
    <n v="0.77777777777777779"/>
    <n v="0.77777777777777779"/>
    <n v="0.4375"/>
    <n v="0"/>
  </r>
  <r>
    <x v="1"/>
    <n v="1"/>
    <n v="0.4"/>
    <n v="0.93333333333333335"/>
    <n v="0.93333333333333335"/>
    <n v="0.7"/>
    <n v="2"/>
  </r>
  <r>
    <x v="1"/>
    <n v="1"/>
    <n v="0.4"/>
    <n v="0.93333333333333335"/>
    <n v="0.93333333333333335"/>
    <n v="0.7"/>
    <n v="2"/>
  </r>
  <r>
    <x v="1"/>
    <n v="1"/>
    <n v="0.4"/>
    <n v="0.93333333333333335"/>
    <n v="0.93333333333333335"/>
    <n v="0.7"/>
    <n v="2"/>
  </r>
  <r>
    <x v="1"/>
    <n v="1"/>
    <n v="0.4"/>
    <n v="0.93333333333333335"/>
    <n v="0.93333333333333335"/>
    <n v="0.7"/>
    <n v="2"/>
  </r>
  <r>
    <x v="2"/>
    <n v="0"/>
    <n v="0"/>
    <n v="0.8"/>
    <n v="0.8"/>
    <n v="0.47368421052631582"/>
    <n v="0"/>
  </r>
  <r>
    <x v="2"/>
    <n v="0.8"/>
    <n v="0.5714285714285714"/>
    <n v="0.91111111111111109"/>
    <n v="0.91111111111111109"/>
    <n v="0.77255639097744355"/>
    <n v="5"/>
  </r>
  <r>
    <x v="2"/>
    <n v="0.8"/>
    <n v="0.5714285714285714"/>
    <n v="0.91111111111111109"/>
    <n v="0.91111111111111109"/>
    <n v="0.77255639097744355"/>
    <n v="5"/>
  </r>
  <r>
    <x v="2"/>
    <n v="0.8"/>
    <n v="0.5714285714285714"/>
    <n v="0.91111111111111109"/>
    <n v="0.91111111111111109"/>
    <n v="0.77255639097744355"/>
    <n v="4"/>
  </r>
  <r>
    <x v="2"/>
    <n v="0.8"/>
    <n v="0.5714285714285714"/>
    <n v="0.91111111111111109"/>
    <n v="0.91111111111111109"/>
    <n v="0.77255639097744355"/>
    <n v="5"/>
  </r>
  <r>
    <x v="3"/>
    <n v="0"/>
    <n v="0"/>
    <n v="0.68888888888888888"/>
    <n v="0.68888888888888888"/>
    <n v="0.43055555555555558"/>
    <n v="0"/>
  </r>
  <r>
    <x v="3"/>
    <n v="1"/>
    <n v="0.55555555555555558"/>
    <n v="0.91111111111111109"/>
    <n v="0.91111111111111109"/>
    <n v="0.77777777777777779"/>
    <n v="5"/>
  </r>
  <r>
    <x v="3"/>
    <n v="1"/>
    <n v="0.55555555555555558"/>
    <n v="0.91111111111111109"/>
    <n v="0.91111111111111109"/>
    <n v="0.77777777777777779"/>
    <n v="1"/>
  </r>
  <r>
    <x v="3"/>
    <n v="1"/>
    <n v="0.55555555555555558"/>
    <n v="0.91111111111111109"/>
    <n v="0.91111111111111109"/>
    <n v="0.77777777777777779"/>
    <n v="5"/>
  </r>
  <r>
    <x v="3"/>
    <n v="1"/>
    <n v="0.55555555555555558"/>
    <n v="0.91111111111111109"/>
    <n v="0.91111111111111109"/>
    <n v="0.77777777777777779"/>
    <n v="5"/>
  </r>
  <r>
    <x v="4"/>
    <n v="0"/>
    <n v="0"/>
    <n v="0.77777777777777779"/>
    <n v="0.77777777777777779"/>
    <n v="0.4375"/>
    <n v="0"/>
  </r>
  <r>
    <x v="4"/>
    <n v="0.6"/>
    <n v="0.6"/>
    <n v="0.91111111111111109"/>
    <n v="0.91111111111111109"/>
    <n v="0.77499999999999991"/>
    <n v="4"/>
  </r>
  <r>
    <x v="4"/>
    <n v="0.6"/>
    <n v="0.6"/>
    <n v="0.91111111111111109"/>
    <n v="0.91111111111111109"/>
    <n v="0.77499999999999991"/>
    <n v="2"/>
  </r>
  <r>
    <x v="4"/>
    <n v="0.6"/>
    <n v="0.6"/>
    <n v="0.91111111111111109"/>
    <n v="0.91111111111111109"/>
    <n v="0.77499999999999991"/>
    <n v="5"/>
  </r>
  <r>
    <x v="4"/>
    <n v="0.6"/>
    <n v="0.6"/>
    <n v="0.91111111111111109"/>
    <n v="0.91111111111111109"/>
    <n v="0.77499999999999991"/>
    <n v="4"/>
  </r>
  <r>
    <x v="5"/>
    <n v="0.4"/>
    <n v="0.4"/>
    <n v="0.8666666666666667"/>
    <n v="0.8666666666666667"/>
    <n v="0.66250000000000009"/>
    <n v="1"/>
  </r>
  <r>
    <x v="5"/>
    <n v="0.8"/>
    <n v="0.8"/>
    <n v="0.9555555555555556"/>
    <n v="0.9555555555555556"/>
    <n v="0.88749999999999996"/>
    <n v="5"/>
  </r>
  <r>
    <x v="5"/>
    <n v="0.8"/>
    <n v="0.8"/>
    <n v="0.9555555555555556"/>
    <n v="0.9555555555555556"/>
    <n v="0.88749999999999996"/>
    <n v="5"/>
  </r>
  <r>
    <x v="5"/>
    <n v="0.8"/>
    <n v="0.8"/>
    <n v="0.9555555555555556"/>
    <n v="0.9555555555555556"/>
    <n v="0.88749999999999996"/>
    <n v="4"/>
  </r>
  <r>
    <x v="5"/>
    <n v="0.8"/>
    <n v="0.8"/>
    <n v="0.9555555555555556"/>
    <n v="0.9555555555555556"/>
    <n v="0.88749999999999996"/>
    <n v="5"/>
  </r>
  <r>
    <x v="6"/>
    <n v="0"/>
    <n v="0"/>
    <n v="0.77777777777777779"/>
    <n v="0.77777777777777779"/>
    <n v="0.4375"/>
    <n v="0"/>
  </r>
  <r>
    <x v="6"/>
    <n v="0.6"/>
    <n v="0.6"/>
    <n v="0.91111111111111109"/>
    <n v="0.91111111111111109"/>
    <n v="0.77499999999999991"/>
    <n v="5"/>
  </r>
  <r>
    <x v="6"/>
    <n v="0.6"/>
    <n v="0.6"/>
    <n v="0.91111111111111109"/>
    <n v="0.91111111111111109"/>
    <n v="0.77499999999999991"/>
    <n v="5"/>
  </r>
  <r>
    <x v="6"/>
    <n v="0.6"/>
    <n v="0.6"/>
    <n v="0.91111111111111109"/>
    <n v="0.91111111111111109"/>
    <n v="0.77499999999999991"/>
    <n v="5"/>
  </r>
  <r>
    <x v="6"/>
    <n v="0.6"/>
    <n v="0.6"/>
    <n v="0.91111111111111109"/>
    <n v="0.91111111111111109"/>
    <n v="0.77499999999999991"/>
    <n v="5"/>
  </r>
  <r>
    <x v="7"/>
    <n v="0"/>
    <n v="0"/>
    <n v="0.77777777777777779"/>
    <n v="0.77777777777777779"/>
    <n v="0.4375"/>
    <n v="0"/>
  </r>
  <r>
    <x v="7"/>
    <n v="0.75"/>
    <n v="0.6"/>
    <n v="0.93333333333333335"/>
    <n v="0.93333333333333335"/>
    <n v="0.78749999999999998"/>
    <n v="1"/>
  </r>
  <r>
    <x v="7"/>
    <n v="0.75"/>
    <n v="0.6"/>
    <n v="0.93333333333333335"/>
    <n v="0.93333333333333335"/>
    <n v="0.78749999999999998"/>
    <n v="1"/>
  </r>
  <r>
    <x v="7"/>
    <n v="0.75"/>
    <n v="0.6"/>
    <n v="0.93333333333333335"/>
    <n v="0.93333333333333335"/>
    <n v="0.78749999999999998"/>
    <n v="1"/>
  </r>
  <r>
    <x v="7"/>
    <n v="0.75"/>
    <n v="0.6"/>
    <n v="0.93333333333333335"/>
    <n v="0.93333333333333335"/>
    <n v="0.78749999999999998"/>
    <n v="4"/>
  </r>
  <r>
    <x v="8"/>
    <n v="0.25"/>
    <n v="0.2"/>
    <n v="0.84444444444444444"/>
    <n v="0.84444444444444444"/>
    <n v="0.5625"/>
    <n v="0"/>
  </r>
  <r>
    <x v="8"/>
    <n v="0.8"/>
    <n v="0.8"/>
    <n v="0.9555555555555556"/>
    <n v="0.9555555555555556"/>
    <n v="0.88749999999999996"/>
    <n v="5"/>
  </r>
  <r>
    <x v="8"/>
    <n v="0.8"/>
    <n v="0.8"/>
    <n v="0.9555555555555556"/>
    <n v="0.9555555555555556"/>
    <n v="0.88749999999999996"/>
    <n v="5"/>
  </r>
  <r>
    <x v="8"/>
    <n v="0.8"/>
    <n v="0.8"/>
    <n v="0.9555555555555556"/>
    <n v="0.9555555555555556"/>
    <n v="0.88749999999999996"/>
    <n v="5"/>
  </r>
  <r>
    <x v="8"/>
    <n v="0.8"/>
    <n v="0.8"/>
    <n v="0.9555555555555556"/>
    <n v="0.9555555555555556"/>
    <n v="0.88749999999999996"/>
    <n v="5"/>
  </r>
  <r>
    <x v="9"/>
    <n v="0.4"/>
    <n v="0.4"/>
    <n v="0.8666666666666667"/>
    <n v="0.8666666666666667"/>
    <n v="0.66250000000000009"/>
    <n v="1"/>
  </r>
  <r>
    <x v="9"/>
    <n v="0.75"/>
    <n v="0.6"/>
    <n v="0.93333333333333335"/>
    <n v="0.93333333333333335"/>
    <n v="0.78749999999999998"/>
    <n v="3"/>
  </r>
  <r>
    <x v="9"/>
    <n v="0.75"/>
    <n v="0.6"/>
    <n v="0.93333333333333335"/>
    <n v="0.93333333333333335"/>
    <n v="0.78749999999999998"/>
    <n v="1"/>
  </r>
  <r>
    <x v="9"/>
    <n v="0.75"/>
    <n v="0.6"/>
    <n v="0.93333333333333335"/>
    <n v="0.93333333333333335"/>
    <n v="0.78749999999999998"/>
    <n v="1"/>
  </r>
  <r>
    <x v="9"/>
    <n v="0.75"/>
    <n v="0.6"/>
    <n v="0.93333333333333335"/>
    <n v="0.93333333333333335"/>
    <n v="0.78749999999999998"/>
    <n v="3"/>
  </r>
  <r>
    <x v="10"/>
    <n v="0"/>
    <n v="0"/>
    <n v="0.8"/>
    <n v="0.8"/>
    <n v="0.45"/>
    <n v="0"/>
  </r>
  <r>
    <x v="10"/>
    <n v="1"/>
    <n v="1"/>
    <n v="1"/>
    <n v="1"/>
    <n v="1"/>
    <n v="5"/>
  </r>
  <r>
    <x v="10"/>
    <n v="1"/>
    <n v="1"/>
    <n v="1"/>
    <n v="1"/>
    <n v="1"/>
    <n v="5"/>
  </r>
  <r>
    <x v="10"/>
    <n v="1"/>
    <n v="1"/>
    <n v="1"/>
    <n v="1"/>
    <n v="1"/>
    <n v="5"/>
  </r>
  <r>
    <x v="10"/>
    <n v="1"/>
    <n v="1"/>
    <n v="1"/>
    <n v="1"/>
    <n v="1"/>
    <n v="5"/>
  </r>
  <r>
    <x v="11"/>
    <n v="0"/>
    <n v="0"/>
    <n v="0.77777777777777779"/>
    <n v="0.77777777777777779"/>
    <n v="0.4375"/>
    <n v="0"/>
  </r>
  <r>
    <x v="11"/>
    <n v="1"/>
    <n v="0.2"/>
    <n v="0.91111111111111109"/>
    <n v="0.91111111111111109"/>
    <n v="0.6"/>
    <n v="1"/>
  </r>
  <r>
    <x v="11"/>
    <n v="1"/>
    <n v="0.2"/>
    <n v="0.91111111111111109"/>
    <n v="0.91111111111111109"/>
    <n v="0.6"/>
    <n v="1"/>
  </r>
  <r>
    <x v="11"/>
    <n v="1"/>
    <n v="0.2"/>
    <n v="0.91111111111111109"/>
    <n v="0.91111111111111109"/>
    <n v="0.6"/>
    <n v="1"/>
  </r>
  <r>
    <x v="11"/>
    <n v="1"/>
    <n v="0.2"/>
    <n v="0.91111111111111109"/>
    <n v="0.91111111111111109"/>
    <n v="0.6"/>
    <n v="1"/>
  </r>
  <r>
    <x v="12"/>
    <n v="0"/>
    <n v="0"/>
    <n v="0.8666666666666667"/>
    <n v="0.8666666666666667"/>
    <n v="0.48749999999999999"/>
    <n v="0"/>
  </r>
  <r>
    <x v="12"/>
    <n v="0.66666666666666663"/>
    <n v="0.4"/>
    <n v="0.91111111111111109"/>
    <n v="0.91111111111111109"/>
    <n v="0.6875"/>
    <n v="3"/>
  </r>
  <r>
    <x v="12"/>
    <n v="0.66666666666666663"/>
    <n v="0.4"/>
    <n v="0.91111111111111109"/>
    <n v="0.91111111111111109"/>
    <n v="0.6875"/>
    <n v="3"/>
  </r>
  <r>
    <x v="12"/>
    <n v="0.66666666666666663"/>
    <n v="0.4"/>
    <n v="0.91111111111111109"/>
    <n v="0.91111111111111109"/>
    <n v="0.6875"/>
    <n v="3"/>
  </r>
  <r>
    <x v="12"/>
    <n v="0.66666666666666663"/>
    <n v="0.4"/>
    <n v="0.91111111111111109"/>
    <n v="0.91111111111111109"/>
    <n v="0.6875"/>
    <n v="3"/>
  </r>
  <r>
    <x v="13"/>
    <n v="0"/>
    <n v="0"/>
    <n v="0.82222222222222219"/>
    <n v="0.82222222222222219"/>
    <n v="0.46250000000000002"/>
    <n v="0"/>
  </r>
  <r>
    <x v="13"/>
    <n v="0.8"/>
    <n v="0.8"/>
    <n v="0.9555555555555556"/>
    <n v="0.9555555555555556"/>
    <n v="0.88749999999999996"/>
    <n v="5"/>
  </r>
  <r>
    <x v="13"/>
    <n v="0.8"/>
    <n v="0.8"/>
    <n v="0.9555555555555556"/>
    <n v="0.9555555555555556"/>
    <n v="0.88749999999999996"/>
    <n v="5"/>
  </r>
  <r>
    <x v="13"/>
    <n v="0.8"/>
    <n v="0.8"/>
    <n v="0.9555555555555556"/>
    <n v="0.9555555555555556"/>
    <n v="0.88749999999999996"/>
    <n v="5"/>
  </r>
  <r>
    <x v="13"/>
    <n v="0.8"/>
    <n v="0.8"/>
    <n v="0.9555555555555556"/>
    <n v="0.9555555555555556"/>
    <n v="0.88749999999999996"/>
    <n v="5"/>
  </r>
  <r>
    <x v="1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32A8A-7E56-4A47-820C-2712DC0C3AD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 firstHeaderRow="0" firstDataRow="1" firstDataCol="1"/>
  <pivotFields count="9">
    <pivotField axis="axisRow" showAll="0">
      <items count="15">
        <item x="10"/>
        <item x="3"/>
        <item x="13"/>
        <item x="2"/>
        <item x="8"/>
        <item x="11"/>
        <item x="9"/>
        <item x="7"/>
        <item x="12"/>
        <item x="5"/>
        <item x="6"/>
        <item x="4"/>
        <item x="1"/>
        <item x="0"/>
        <item t="default"/>
      </items>
    </pivotField>
    <pivotField dataField="1" showAll="0"/>
    <pivotField dataField="1" showAll="0"/>
    <pivotField dataField="1" showAll="0"/>
    <pivotField dataField="1" showAll="0"/>
    <pivotField dataField="1" showAll="0"/>
    <pivotField dataField="1" showAll="0"/>
    <pivotField showAll="0">
      <items count="19">
        <item x="2"/>
        <item x="13"/>
        <item x="17"/>
        <item x="1"/>
        <item x="0"/>
        <item x="16"/>
        <item x="8"/>
        <item x="4"/>
        <item x="5"/>
        <item x="3"/>
        <item x="14"/>
        <item x="12"/>
        <item x="6"/>
        <item x="7"/>
        <item x="9"/>
        <item x="15"/>
        <item x="10"/>
        <item x="11"/>
        <item t="default"/>
      </items>
    </pivotField>
    <pivotField showAll="0"/>
  </pivotFields>
  <rowFields count="1">
    <field x="0"/>
  </rowFields>
  <rowItems count="15">
    <i>
      <x/>
    </i>
    <i>
      <x v="1"/>
    </i>
    <i>
      <x v="2"/>
    </i>
    <i>
      <x v="3"/>
    </i>
    <i>
      <x v="4"/>
    </i>
    <i>
      <x v="5"/>
    </i>
    <i>
      <x v="6"/>
    </i>
    <i>
      <x v="7"/>
    </i>
    <i>
      <x v="8"/>
    </i>
    <i>
      <x v="9"/>
    </i>
    <i>
      <x v="10"/>
    </i>
    <i>
      <x v="11"/>
    </i>
    <i>
      <x v="12"/>
    </i>
    <i>
      <x v="13"/>
    </i>
    <i t="grand">
      <x/>
    </i>
  </rowItems>
  <colFields count="1">
    <field x="-2"/>
  </colFields>
  <colItems count="6">
    <i>
      <x/>
    </i>
    <i i="1">
      <x v="1"/>
    </i>
    <i i="2">
      <x v="2"/>
    </i>
    <i i="3">
      <x v="3"/>
    </i>
    <i i="4">
      <x v="4"/>
    </i>
    <i i="5">
      <x v="5"/>
    </i>
  </colItems>
  <dataFields count="6">
    <dataField name="Average of Faithfulness score" fld="6" subtotal="average" baseField="0" baseItem="0" numFmtId="173"/>
    <dataField name="Average of Balanced accuracy" fld="5" subtotal="average" baseField="0" baseItem="0" numFmtId="172"/>
    <dataField name="Average of Accuracy" fld="4" subtotal="average" baseField="0" baseItem="0" numFmtId="172"/>
    <dataField name="Average of F1-Score" fld="3" subtotal="average" baseField="0" baseItem="0" numFmtId="172"/>
    <dataField name="Average of Recall" fld="2" subtotal="average" baseField="0" baseItem="0" numFmtId="172"/>
    <dataField name="Average of Precision" fld="1" subtotal="average" baseField="0" baseItem="0" numFmtId="172"/>
  </dataFields>
  <formats count="3">
    <format dxfId="4">
      <pivotArea field="0" grandRow="1" outline="0" collapsedLevelsAreSubtotals="1" axis="axisRow" fieldPosition="0">
        <references count="1">
          <reference field="4294967294" count="1" selected="0">
            <x v="5"/>
          </reference>
        </references>
      </pivotArea>
    </format>
    <format dxfId="3">
      <pivotArea outline="0" collapsedLevelsAreSubtotals="1" fieldPosition="0">
        <references count="1">
          <reference field="4294967294" count="5" selected="0">
            <x v="1"/>
            <x v="2"/>
            <x v="3"/>
            <x v="4"/>
            <x v="5"/>
          </reference>
        </references>
      </pivotArea>
    </format>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1D7DFF-F84D-1D46-9DBB-48AA9679E9F9}" name="PivotTable1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7">
    <pivotField axis="axisRow" showAll="0">
      <items count="16">
        <item x="10"/>
        <item x="3"/>
        <item x="13"/>
        <item x="2"/>
        <item x="8"/>
        <item x="11"/>
        <item x="9"/>
        <item x="7"/>
        <item x="12"/>
        <item x="5"/>
        <item x="6"/>
        <item x="4"/>
        <item x="1"/>
        <item x="0"/>
        <item x="14"/>
        <item t="default"/>
      </items>
    </pivotField>
    <pivotField dataField="1" showAll="0"/>
    <pivotField showAll="0"/>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Min of Precision" fld="1" subtotal="min" baseField="0" baseItem="0"/>
    <dataField name="Max of Precision" fld="1" subtotal="max" baseField="0" baseItem="0"/>
    <dataField name="Average of Precision"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A3FBF8-DD41-BF4B-9469-5872331115C7}"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O33" firstHeaderRow="0" firstDataRow="1" firstDataCol="1"/>
  <pivotFields count="2">
    <pivotField dataField="1" showAll="0"/>
    <pivotField axis="axisRow" showAll="0">
      <items count="31">
        <item x="21"/>
        <item x="9"/>
        <item x="8"/>
        <item x="1"/>
        <item x="28"/>
        <item x="3"/>
        <item x="13"/>
        <item x="22"/>
        <item x="26"/>
        <item x="0"/>
        <item x="10"/>
        <item x="16"/>
        <item x="27"/>
        <item x="14"/>
        <item x="5"/>
        <item x="25"/>
        <item x="12"/>
        <item x="6"/>
        <item x="2"/>
        <item x="24"/>
        <item x="20"/>
        <item x="7"/>
        <item x="19"/>
        <item x="29"/>
        <item x="4"/>
        <item x="15"/>
        <item x="23"/>
        <item x="18"/>
        <item x="11"/>
        <item x="17"/>
        <item t="default"/>
      </items>
    </pivotField>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Max of Documents score" fld="0" subtotal="max" baseField="0" baseItem="0"/>
    <dataField name="Min of Documents score" fld="0" subtotal="min"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14908-A910-9944-9C49-FC0167084572}"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F33" firstHeaderRow="0" firstDataRow="1" firstDataCol="1"/>
  <pivotFields count="2">
    <pivotField dataField="1" showAll="0"/>
    <pivotField axis="axisRow" showAll="0" sortType="ascending">
      <items count="31">
        <item x="21"/>
        <item x="9"/>
        <item x="8"/>
        <item x="1"/>
        <item x="28"/>
        <item x="3"/>
        <item x="13"/>
        <item x="22"/>
        <item x="26"/>
        <item x="0"/>
        <item x="10"/>
        <item x="16"/>
        <item x="27"/>
        <item x="14"/>
        <item x="5"/>
        <item x="25"/>
        <item x="12"/>
        <item x="6"/>
        <item x="2"/>
        <item x="24"/>
        <item x="20"/>
        <item x="7"/>
        <item x="19"/>
        <item x="29"/>
        <item x="4"/>
        <item x="15"/>
        <item x="23"/>
        <item x="18"/>
        <item x="11"/>
        <item x="17"/>
        <item t="default"/>
      </items>
      <autoSortScope>
        <pivotArea dataOnly="0" outline="0" fieldPosition="0">
          <references count="1">
            <reference field="4294967294" count="1" selected="0">
              <x v="0"/>
            </reference>
          </references>
        </pivotArea>
      </autoSortScope>
    </pivotField>
  </pivotFields>
  <rowFields count="1">
    <field x="1"/>
  </rowFields>
  <rowItems count="31">
    <i>
      <x/>
    </i>
    <i>
      <x v="19"/>
    </i>
    <i>
      <x v="3"/>
    </i>
    <i>
      <x v="6"/>
    </i>
    <i>
      <x v="2"/>
    </i>
    <i>
      <x v="26"/>
    </i>
    <i>
      <x v="16"/>
    </i>
    <i>
      <x v="7"/>
    </i>
    <i>
      <x v="14"/>
    </i>
    <i>
      <x v="9"/>
    </i>
    <i>
      <x v="13"/>
    </i>
    <i>
      <x v="23"/>
    </i>
    <i>
      <x v="18"/>
    </i>
    <i>
      <x v="8"/>
    </i>
    <i>
      <x v="15"/>
    </i>
    <i>
      <x v="20"/>
    </i>
    <i>
      <x v="11"/>
    </i>
    <i>
      <x v="27"/>
    </i>
    <i>
      <x v="21"/>
    </i>
    <i>
      <x v="24"/>
    </i>
    <i>
      <x v="22"/>
    </i>
    <i>
      <x v="4"/>
    </i>
    <i>
      <x v="17"/>
    </i>
    <i>
      <x v="1"/>
    </i>
    <i>
      <x v="28"/>
    </i>
    <i>
      <x v="29"/>
    </i>
    <i>
      <x v="5"/>
    </i>
    <i>
      <x v="12"/>
    </i>
    <i>
      <x v="25"/>
    </i>
    <i>
      <x v="10"/>
    </i>
    <i t="grand">
      <x/>
    </i>
  </rowItems>
  <colFields count="1">
    <field x="-2"/>
  </colFields>
  <colItems count="2">
    <i>
      <x/>
    </i>
    <i i="1">
      <x v="1"/>
    </i>
  </colItems>
  <dataFields count="2">
    <dataField name="Average of Documents score:data" fld="0" subtotal="average" baseField="0" baseItem="0"/>
    <dataField name="StdDev of Documents score" fld="0" subtotal="stdDev" baseField="0" baseItem="0"/>
  </dataFields>
  <formats count="1">
    <format dxfId="0">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5B3F-1940-D041-9F4B-AF7BB723A91A}">
  <dimension ref="A3:G18"/>
  <sheetViews>
    <sheetView topLeftCell="B1" workbookViewId="0">
      <selection activeCell="J8" sqref="J8"/>
    </sheetView>
  </sheetViews>
  <sheetFormatPr baseColWidth="10" defaultRowHeight="15" x14ac:dyDescent="0.2"/>
  <cols>
    <col min="1" max="1" width="93.5" bestFit="1" customWidth="1"/>
    <col min="2" max="2" width="23.6640625" bestFit="1" customWidth="1"/>
    <col min="3" max="3" width="24" bestFit="1" customWidth="1"/>
    <col min="4" max="4" width="16.83203125" bestFit="1" customWidth="1"/>
    <col min="5" max="5" width="16.5" bestFit="1" customWidth="1"/>
    <col min="6" max="6" width="14.33203125" bestFit="1" customWidth="1"/>
    <col min="7" max="7" width="17" bestFit="1" customWidth="1"/>
  </cols>
  <sheetData>
    <row r="3" spans="1:7" x14ac:dyDescent="0.2">
      <c r="A3" s="2" t="s">
        <v>107</v>
      </c>
      <c r="B3" t="s">
        <v>109</v>
      </c>
      <c r="C3" t="s">
        <v>110</v>
      </c>
      <c r="D3" t="s">
        <v>111</v>
      </c>
      <c r="E3" t="s">
        <v>112</v>
      </c>
      <c r="F3" t="s">
        <v>113</v>
      </c>
      <c r="G3" t="s">
        <v>114</v>
      </c>
    </row>
    <row r="4" spans="1:7" x14ac:dyDescent="0.2">
      <c r="A4" s="3" t="s">
        <v>80</v>
      </c>
      <c r="B4" s="8">
        <v>4</v>
      </c>
      <c r="C4" s="7">
        <v>0.89</v>
      </c>
      <c r="D4" s="7">
        <v>0.96</v>
      </c>
      <c r="E4" s="7">
        <v>0.96</v>
      </c>
      <c r="F4" s="7">
        <v>0.8</v>
      </c>
      <c r="G4" s="7">
        <v>0.8</v>
      </c>
    </row>
    <row r="5" spans="1:7" x14ac:dyDescent="0.2">
      <c r="A5" s="3" t="s">
        <v>29</v>
      </c>
      <c r="B5" s="8">
        <v>3.2</v>
      </c>
      <c r="C5" s="7">
        <v>0.70833333333333326</v>
      </c>
      <c r="D5" s="7">
        <v>0.86666666666666659</v>
      </c>
      <c r="E5" s="7">
        <v>0.86666666666666659</v>
      </c>
      <c r="F5" s="7">
        <v>0.44444444444444448</v>
      </c>
      <c r="G5" s="7">
        <v>0.8</v>
      </c>
    </row>
    <row r="6" spans="1:7" x14ac:dyDescent="0.2">
      <c r="A6" s="3" t="s">
        <v>100</v>
      </c>
      <c r="B6" s="8">
        <v>4</v>
      </c>
      <c r="C6" s="7">
        <v>0.80249999999999999</v>
      </c>
      <c r="D6" s="7">
        <v>0.92888888888888899</v>
      </c>
      <c r="E6" s="7">
        <v>0.92888888888888899</v>
      </c>
      <c r="F6" s="7">
        <v>0.64</v>
      </c>
      <c r="G6" s="7">
        <v>0.64</v>
      </c>
    </row>
    <row r="7" spans="1:7" x14ac:dyDescent="0.2">
      <c r="A7" s="3" t="s">
        <v>22</v>
      </c>
      <c r="B7" s="8">
        <v>3.8</v>
      </c>
      <c r="C7" s="7">
        <v>0.71278195488721807</v>
      </c>
      <c r="D7" s="7">
        <v>0.88888888888888895</v>
      </c>
      <c r="E7" s="7">
        <v>0.88888888888888895</v>
      </c>
      <c r="F7" s="7">
        <v>0.45714285714285713</v>
      </c>
      <c r="G7" s="7">
        <v>0.64</v>
      </c>
    </row>
    <row r="8" spans="1:7" x14ac:dyDescent="0.2">
      <c r="A8" s="3" t="s">
        <v>67</v>
      </c>
      <c r="B8" s="8">
        <v>4</v>
      </c>
      <c r="C8" s="7">
        <v>0.82250000000000001</v>
      </c>
      <c r="D8" s="7">
        <v>0.93333333333333335</v>
      </c>
      <c r="E8" s="7">
        <v>0.93333333333333335</v>
      </c>
      <c r="F8" s="7">
        <v>0.68</v>
      </c>
      <c r="G8" s="7">
        <v>0.69000000000000006</v>
      </c>
    </row>
    <row r="9" spans="1:7" x14ac:dyDescent="0.2">
      <c r="A9" s="3" t="s">
        <v>87</v>
      </c>
      <c r="B9" s="8">
        <v>0.8</v>
      </c>
      <c r="C9" s="7">
        <v>0.56750000000000012</v>
      </c>
      <c r="D9" s="7">
        <v>0.88444444444444448</v>
      </c>
      <c r="E9" s="7">
        <v>0.88444444444444448</v>
      </c>
      <c r="F9" s="7">
        <v>0.16</v>
      </c>
      <c r="G9" s="7">
        <v>0.8</v>
      </c>
    </row>
    <row r="10" spans="1:7" x14ac:dyDescent="0.2">
      <c r="A10" s="3" t="s">
        <v>74</v>
      </c>
      <c r="B10" s="8">
        <v>1.8</v>
      </c>
      <c r="C10" s="7">
        <v>0.76250000000000007</v>
      </c>
      <c r="D10" s="7">
        <v>0.92000000000000015</v>
      </c>
      <c r="E10" s="7">
        <v>0.92000000000000015</v>
      </c>
      <c r="F10" s="7">
        <v>0.56000000000000005</v>
      </c>
      <c r="G10" s="7">
        <v>0.67999999999999994</v>
      </c>
    </row>
    <row r="11" spans="1:7" x14ac:dyDescent="0.2">
      <c r="A11" s="3" t="s">
        <v>59</v>
      </c>
      <c r="B11" s="8">
        <v>1.4</v>
      </c>
      <c r="C11" s="7">
        <v>0.71750000000000003</v>
      </c>
      <c r="D11" s="7">
        <v>0.90222222222222237</v>
      </c>
      <c r="E11" s="7">
        <v>0.90222222222222237</v>
      </c>
      <c r="F11" s="7">
        <v>0.48</v>
      </c>
      <c r="G11" s="7">
        <v>0.6</v>
      </c>
    </row>
    <row r="12" spans="1:7" x14ac:dyDescent="0.2">
      <c r="A12" s="3" t="s">
        <v>94</v>
      </c>
      <c r="B12" s="8">
        <v>2.4</v>
      </c>
      <c r="C12" s="7">
        <v>0.64749999999999996</v>
      </c>
      <c r="D12" s="7">
        <v>0.90222222222222226</v>
      </c>
      <c r="E12" s="7">
        <v>0.90222222222222226</v>
      </c>
      <c r="F12" s="7">
        <v>0.32</v>
      </c>
      <c r="G12" s="7">
        <v>0.53333333333333333</v>
      </c>
    </row>
    <row r="13" spans="1:7" x14ac:dyDescent="0.2">
      <c r="A13" s="3" t="s">
        <v>45</v>
      </c>
      <c r="B13" s="8">
        <v>4</v>
      </c>
      <c r="C13" s="7">
        <v>0.84250000000000003</v>
      </c>
      <c r="D13" s="7">
        <v>0.93777777777777782</v>
      </c>
      <c r="E13" s="7">
        <v>0.93777777777777782</v>
      </c>
      <c r="F13" s="7">
        <v>0.72</v>
      </c>
      <c r="G13" s="7">
        <v>0.72</v>
      </c>
    </row>
    <row r="14" spans="1:7" x14ac:dyDescent="0.2">
      <c r="A14" s="3" t="s">
        <v>52</v>
      </c>
      <c r="B14" s="8">
        <v>4</v>
      </c>
      <c r="C14" s="7">
        <v>0.70749999999999991</v>
      </c>
      <c r="D14" s="7">
        <v>0.88444444444444448</v>
      </c>
      <c r="E14" s="7">
        <v>0.88444444444444448</v>
      </c>
      <c r="F14" s="7">
        <v>0.48</v>
      </c>
      <c r="G14" s="7">
        <v>0.48</v>
      </c>
    </row>
    <row r="15" spans="1:7" x14ac:dyDescent="0.2">
      <c r="A15" s="3" t="s">
        <v>37</v>
      </c>
      <c r="B15" s="8">
        <v>3</v>
      </c>
      <c r="C15" s="7">
        <v>0.70749999999999991</v>
      </c>
      <c r="D15" s="7">
        <v>0.88444444444444448</v>
      </c>
      <c r="E15" s="7">
        <v>0.88444444444444448</v>
      </c>
      <c r="F15" s="7">
        <v>0.48</v>
      </c>
      <c r="G15" s="7">
        <v>0.48</v>
      </c>
    </row>
    <row r="16" spans="1:7" x14ac:dyDescent="0.2">
      <c r="A16" s="3" t="s">
        <v>17</v>
      </c>
      <c r="B16" s="8">
        <v>1.6</v>
      </c>
      <c r="C16" s="7">
        <v>0.64749999999999996</v>
      </c>
      <c r="D16" s="7">
        <v>0.90222222222222237</v>
      </c>
      <c r="E16" s="7">
        <v>0.90222222222222237</v>
      </c>
      <c r="F16" s="7">
        <v>0.32</v>
      </c>
      <c r="G16" s="7">
        <v>0.8</v>
      </c>
    </row>
    <row r="17" spans="1:7" x14ac:dyDescent="0.2">
      <c r="A17" s="3" t="s">
        <v>9</v>
      </c>
      <c r="B17" s="8">
        <v>4</v>
      </c>
      <c r="C17" s="7">
        <v>0.77499999999999991</v>
      </c>
      <c r="D17" s="7">
        <v>0.91111111111111109</v>
      </c>
      <c r="E17" s="7">
        <v>0.91111111111111109</v>
      </c>
      <c r="F17" s="7">
        <v>0.6</v>
      </c>
      <c r="G17" s="7">
        <v>0.6</v>
      </c>
    </row>
    <row r="18" spans="1:7" x14ac:dyDescent="0.2">
      <c r="A18" s="3" t="s">
        <v>108</v>
      </c>
      <c r="B18" s="8">
        <v>3</v>
      </c>
      <c r="C18" s="7">
        <v>0.73650823487289674</v>
      </c>
      <c r="D18" s="7">
        <v>0.90761904761904744</v>
      </c>
      <c r="E18" s="7">
        <v>0.90761904761904744</v>
      </c>
      <c r="F18" s="7">
        <v>0.51011337868480755</v>
      </c>
      <c r="G18" s="7">
        <v>0.66166666666666696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5C12-F878-C046-8521-C854B749CF77}">
  <dimension ref="A3:D19"/>
  <sheetViews>
    <sheetView tabSelected="1" workbookViewId="0">
      <selection activeCell="A25" sqref="A25"/>
    </sheetView>
  </sheetViews>
  <sheetFormatPr baseColWidth="10" defaultRowHeight="15" x14ac:dyDescent="0.2"/>
  <cols>
    <col min="1" max="1" width="93.5" bestFit="1" customWidth="1"/>
    <col min="2" max="2" width="13.6640625" bestFit="1" customWidth="1"/>
    <col min="3" max="3" width="13.83203125" bestFit="1" customWidth="1"/>
    <col min="4" max="4" width="17" bestFit="1" customWidth="1"/>
  </cols>
  <sheetData>
    <row r="3" spans="1:4" x14ac:dyDescent="0.2">
      <c r="A3" s="2" t="s">
        <v>107</v>
      </c>
      <c r="B3" t="s">
        <v>153</v>
      </c>
      <c r="C3" t="s">
        <v>154</v>
      </c>
      <c r="D3" t="s">
        <v>114</v>
      </c>
    </row>
    <row r="4" spans="1:4" x14ac:dyDescent="0.2">
      <c r="A4" s="3" t="s">
        <v>80</v>
      </c>
      <c r="B4" s="4">
        <v>0</v>
      </c>
      <c r="C4" s="4">
        <v>1</v>
      </c>
      <c r="D4" s="4">
        <v>0.8</v>
      </c>
    </row>
    <row r="5" spans="1:4" x14ac:dyDescent="0.2">
      <c r="A5" s="3" t="s">
        <v>29</v>
      </c>
      <c r="B5" s="4">
        <v>0</v>
      </c>
      <c r="C5" s="4">
        <v>1</v>
      </c>
      <c r="D5" s="4">
        <v>0.8</v>
      </c>
    </row>
    <row r="6" spans="1:4" x14ac:dyDescent="0.2">
      <c r="A6" s="3" t="s">
        <v>100</v>
      </c>
      <c r="B6" s="4">
        <v>0</v>
      </c>
      <c r="C6" s="4">
        <v>0.8</v>
      </c>
      <c r="D6" s="4">
        <v>0.64</v>
      </c>
    </row>
    <row r="7" spans="1:4" x14ac:dyDescent="0.2">
      <c r="A7" s="3" t="s">
        <v>22</v>
      </c>
      <c r="B7" s="4">
        <v>0</v>
      </c>
      <c r="C7" s="4">
        <v>0.8</v>
      </c>
      <c r="D7" s="4">
        <v>0.64</v>
      </c>
    </row>
    <row r="8" spans="1:4" x14ac:dyDescent="0.2">
      <c r="A8" s="3" t="s">
        <v>67</v>
      </c>
      <c r="B8" s="4">
        <v>0.25</v>
      </c>
      <c r="C8" s="4">
        <v>0.8</v>
      </c>
      <c r="D8" s="4">
        <v>0.69000000000000006</v>
      </c>
    </row>
    <row r="9" spans="1:4" x14ac:dyDescent="0.2">
      <c r="A9" s="3" t="s">
        <v>87</v>
      </c>
      <c r="B9" s="4">
        <v>0</v>
      </c>
      <c r="C9" s="4">
        <v>1</v>
      </c>
      <c r="D9" s="4">
        <v>0.8</v>
      </c>
    </row>
    <row r="10" spans="1:4" x14ac:dyDescent="0.2">
      <c r="A10" s="3" t="s">
        <v>74</v>
      </c>
      <c r="B10" s="4">
        <v>0.4</v>
      </c>
      <c r="C10" s="4">
        <v>0.75</v>
      </c>
      <c r="D10" s="4">
        <v>0.67999999999999994</v>
      </c>
    </row>
    <row r="11" spans="1:4" x14ac:dyDescent="0.2">
      <c r="A11" s="3" t="s">
        <v>59</v>
      </c>
      <c r="B11" s="4">
        <v>0</v>
      </c>
      <c r="C11" s="4">
        <v>0.75</v>
      </c>
      <c r="D11" s="4">
        <v>0.6</v>
      </c>
    </row>
    <row r="12" spans="1:4" x14ac:dyDescent="0.2">
      <c r="A12" s="3" t="s">
        <v>94</v>
      </c>
      <c r="B12" s="4">
        <v>0</v>
      </c>
      <c r="C12" s="4">
        <v>0.66666666666666663</v>
      </c>
      <c r="D12" s="4">
        <v>0.53333333333333333</v>
      </c>
    </row>
    <row r="13" spans="1:4" x14ac:dyDescent="0.2">
      <c r="A13" s="3" t="s">
        <v>45</v>
      </c>
      <c r="B13" s="4">
        <v>0.4</v>
      </c>
      <c r="C13" s="4">
        <v>0.8</v>
      </c>
      <c r="D13" s="4">
        <v>0.72</v>
      </c>
    </row>
    <row r="14" spans="1:4" x14ac:dyDescent="0.2">
      <c r="A14" s="3" t="s">
        <v>52</v>
      </c>
      <c r="B14" s="4">
        <v>0</v>
      </c>
      <c r="C14" s="4">
        <v>0.6</v>
      </c>
      <c r="D14" s="4">
        <v>0.48</v>
      </c>
    </row>
    <row r="15" spans="1:4" x14ac:dyDescent="0.2">
      <c r="A15" s="3" t="s">
        <v>37</v>
      </c>
      <c r="B15" s="4">
        <v>0</v>
      </c>
      <c r="C15" s="4">
        <v>0.6</v>
      </c>
      <c r="D15" s="4">
        <v>0.48</v>
      </c>
    </row>
    <row r="16" spans="1:4" x14ac:dyDescent="0.2">
      <c r="A16" s="3" t="s">
        <v>17</v>
      </c>
      <c r="B16" s="4">
        <v>0</v>
      </c>
      <c r="C16" s="4">
        <v>1</v>
      </c>
      <c r="D16" s="4">
        <v>0.8</v>
      </c>
    </row>
    <row r="17" spans="1:4" x14ac:dyDescent="0.2">
      <c r="A17" s="3" t="s">
        <v>9</v>
      </c>
      <c r="B17" s="4">
        <v>0.6</v>
      </c>
      <c r="C17" s="4">
        <v>0.6</v>
      </c>
      <c r="D17" s="4">
        <v>0.6</v>
      </c>
    </row>
    <row r="18" spans="1:4" x14ac:dyDescent="0.2">
      <c r="A18" s="3" t="s">
        <v>152</v>
      </c>
      <c r="B18" s="4"/>
      <c r="C18" s="4"/>
      <c r="D18" s="4"/>
    </row>
    <row r="19" spans="1:4" x14ac:dyDescent="0.2">
      <c r="A19" s="3" t="s">
        <v>108</v>
      </c>
      <c r="B19" s="4">
        <v>0</v>
      </c>
      <c r="C19" s="4">
        <v>1</v>
      </c>
      <c r="D19" s="4">
        <v>0.66166666666666696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workbookViewId="0">
      <selection activeCell="C1" sqref="C1"/>
    </sheetView>
  </sheetViews>
  <sheetFormatPr baseColWidth="10" defaultColWidth="8.83203125" defaultRowHeight="15" x14ac:dyDescent="0.2"/>
  <cols>
    <col min="7" max="7" width="19.1640625" customWidth="1"/>
  </cols>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0.6</v>
      </c>
      <c r="D2">
        <v>0.6</v>
      </c>
      <c r="E2">
        <v>0.91111111111111109</v>
      </c>
      <c r="F2">
        <v>0.91111111111111109</v>
      </c>
      <c r="G2">
        <v>0.77499999999999991</v>
      </c>
      <c r="H2">
        <v>4</v>
      </c>
      <c r="I2" t="s">
        <v>10</v>
      </c>
      <c r="J2" t="s">
        <v>11</v>
      </c>
    </row>
    <row r="3" spans="1:10" x14ac:dyDescent="0.2">
      <c r="A3" s="1">
        <v>1</v>
      </c>
      <c r="B3" t="s">
        <v>9</v>
      </c>
      <c r="C3">
        <v>0.6</v>
      </c>
      <c r="D3">
        <v>0.6</v>
      </c>
      <c r="E3">
        <v>0.91111111111111109</v>
      </c>
      <c r="F3">
        <v>0.91111111111111109</v>
      </c>
      <c r="G3">
        <v>0.77499999999999991</v>
      </c>
      <c r="H3">
        <v>4</v>
      </c>
      <c r="I3" t="s">
        <v>10</v>
      </c>
      <c r="J3" t="s">
        <v>12</v>
      </c>
    </row>
    <row r="4" spans="1:10" x14ac:dyDescent="0.2">
      <c r="A4" s="1">
        <v>2</v>
      </c>
      <c r="B4" t="s">
        <v>9</v>
      </c>
      <c r="C4">
        <v>0.6</v>
      </c>
      <c r="D4">
        <v>0.6</v>
      </c>
      <c r="E4">
        <v>0.91111111111111109</v>
      </c>
      <c r="F4">
        <v>0.91111111111111109</v>
      </c>
      <c r="G4">
        <v>0.77499999999999991</v>
      </c>
      <c r="H4">
        <v>4</v>
      </c>
      <c r="I4" t="s">
        <v>13</v>
      </c>
      <c r="J4" t="s">
        <v>14</v>
      </c>
    </row>
    <row r="5" spans="1:10" x14ac:dyDescent="0.2">
      <c r="A5" s="1">
        <v>3</v>
      </c>
      <c r="B5" t="s">
        <v>9</v>
      </c>
      <c r="C5">
        <v>0.6</v>
      </c>
      <c r="D5">
        <v>0.6</v>
      </c>
      <c r="E5">
        <v>0.91111111111111109</v>
      </c>
      <c r="F5">
        <v>0.91111111111111109</v>
      </c>
      <c r="G5">
        <v>0.77499999999999991</v>
      </c>
      <c r="H5">
        <v>4</v>
      </c>
      <c r="I5" t="s">
        <v>10</v>
      </c>
      <c r="J5" t="s">
        <v>15</v>
      </c>
    </row>
    <row r="6" spans="1:10" x14ac:dyDescent="0.2">
      <c r="A6" s="1">
        <v>4</v>
      </c>
      <c r="B6" t="s">
        <v>9</v>
      </c>
      <c r="C6">
        <v>0.6</v>
      </c>
      <c r="D6">
        <v>0.6</v>
      </c>
      <c r="E6">
        <v>0.91111111111111109</v>
      </c>
      <c r="F6">
        <v>0.91111111111111109</v>
      </c>
      <c r="G6">
        <v>0.77499999999999991</v>
      </c>
      <c r="H6">
        <v>4</v>
      </c>
      <c r="I6" t="s">
        <v>10</v>
      </c>
      <c r="J6" t="s">
        <v>16</v>
      </c>
    </row>
    <row r="7" spans="1:10" x14ac:dyDescent="0.2">
      <c r="A7" s="1">
        <v>5</v>
      </c>
      <c r="B7" t="s">
        <v>17</v>
      </c>
      <c r="C7">
        <v>0</v>
      </c>
      <c r="D7">
        <v>0</v>
      </c>
      <c r="E7">
        <v>0.77777777777777779</v>
      </c>
      <c r="F7">
        <v>0.77777777777777779</v>
      </c>
      <c r="G7">
        <v>0.4375</v>
      </c>
      <c r="H7">
        <v>0</v>
      </c>
      <c r="I7" t="s">
        <v>18</v>
      </c>
      <c r="J7" t="s">
        <v>19</v>
      </c>
    </row>
    <row r="8" spans="1:10" x14ac:dyDescent="0.2">
      <c r="A8" s="1">
        <v>6</v>
      </c>
      <c r="B8" t="s">
        <v>17</v>
      </c>
      <c r="C8">
        <v>1</v>
      </c>
      <c r="D8">
        <v>0.4</v>
      </c>
      <c r="E8">
        <v>0.93333333333333335</v>
      </c>
      <c r="F8">
        <v>0.93333333333333335</v>
      </c>
      <c r="G8">
        <v>0.7</v>
      </c>
      <c r="H8">
        <v>2</v>
      </c>
      <c r="I8" t="s">
        <v>18</v>
      </c>
      <c r="J8" t="s">
        <v>19</v>
      </c>
    </row>
    <row r="9" spans="1:10" x14ac:dyDescent="0.2">
      <c r="A9" s="1">
        <v>7</v>
      </c>
      <c r="B9" t="s">
        <v>17</v>
      </c>
      <c r="C9">
        <v>1</v>
      </c>
      <c r="D9">
        <v>0.4</v>
      </c>
      <c r="E9">
        <v>0.93333333333333335</v>
      </c>
      <c r="F9">
        <v>0.93333333333333335</v>
      </c>
      <c r="G9">
        <v>0.7</v>
      </c>
      <c r="H9">
        <v>2</v>
      </c>
      <c r="I9" t="s">
        <v>18</v>
      </c>
      <c r="J9" t="s">
        <v>20</v>
      </c>
    </row>
    <row r="10" spans="1:10" x14ac:dyDescent="0.2">
      <c r="A10" s="1">
        <v>8</v>
      </c>
      <c r="B10" t="s">
        <v>17</v>
      </c>
      <c r="C10">
        <v>1</v>
      </c>
      <c r="D10">
        <v>0.4</v>
      </c>
      <c r="E10">
        <v>0.93333333333333335</v>
      </c>
      <c r="F10">
        <v>0.93333333333333335</v>
      </c>
      <c r="G10">
        <v>0.7</v>
      </c>
      <c r="H10">
        <v>2</v>
      </c>
      <c r="I10" t="s">
        <v>18</v>
      </c>
      <c r="J10" t="s">
        <v>19</v>
      </c>
    </row>
    <row r="11" spans="1:10" x14ac:dyDescent="0.2">
      <c r="A11" s="1">
        <v>9</v>
      </c>
      <c r="B11" t="s">
        <v>17</v>
      </c>
      <c r="C11">
        <v>1</v>
      </c>
      <c r="D11">
        <v>0.4</v>
      </c>
      <c r="E11">
        <v>0.93333333333333335</v>
      </c>
      <c r="F11">
        <v>0.93333333333333335</v>
      </c>
      <c r="G11">
        <v>0.7</v>
      </c>
      <c r="H11">
        <v>2</v>
      </c>
      <c r="I11" t="s">
        <v>18</v>
      </c>
      <c r="J11" t="s">
        <v>21</v>
      </c>
    </row>
    <row r="12" spans="1:10" x14ac:dyDescent="0.2">
      <c r="A12" s="1">
        <v>10</v>
      </c>
      <c r="B12" t="s">
        <v>22</v>
      </c>
      <c r="C12">
        <v>0</v>
      </c>
      <c r="D12">
        <v>0</v>
      </c>
      <c r="E12">
        <v>0.8</v>
      </c>
      <c r="F12">
        <v>0.8</v>
      </c>
      <c r="G12">
        <v>0.47368421052631582</v>
      </c>
      <c r="H12">
        <v>0</v>
      </c>
      <c r="I12" t="s">
        <v>23</v>
      </c>
      <c r="J12" t="s">
        <v>24</v>
      </c>
    </row>
    <row r="13" spans="1:10" x14ac:dyDescent="0.2">
      <c r="A13" s="1">
        <v>11</v>
      </c>
      <c r="B13" t="s">
        <v>22</v>
      </c>
      <c r="C13">
        <v>0.8</v>
      </c>
      <c r="D13">
        <v>0.5714285714285714</v>
      </c>
      <c r="E13">
        <v>0.91111111111111109</v>
      </c>
      <c r="F13">
        <v>0.91111111111111109</v>
      </c>
      <c r="G13">
        <v>0.77255639097744355</v>
      </c>
      <c r="H13">
        <v>5</v>
      </c>
      <c r="I13" t="s">
        <v>23</v>
      </c>
      <c r="J13" t="s">
        <v>25</v>
      </c>
    </row>
    <row r="14" spans="1:10" x14ac:dyDescent="0.2">
      <c r="A14" s="1">
        <v>12</v>
      </c>
      <c r="B14" t="s">
        <v>22</v>
      </c>
      <c r="C14">
        <v>0.8</v>
      </c>
      <c r="D14">
        <v>0.5714285714285714</v>
      </c>
      <c r="E14">
        <v>0.91111111111111109</v>
      </c>
      <c r="F14">
        <v>0.91111111111111109</v>
      </c>
      <c r="G14">
        <v>0.77255639097744355</v>
      </c>
      <c r="H14">
        <v>5</v>
      </c>
      <c r="I14" t="s">
        <v>23</v>
      </c>
      <c r="J14" t="s">
        <v>26</v>
      </c>
    </row>
    <row r="15" spans="1:10" x14ac:dyDescent="0.2">
      <c r="A15" s="1">
        <v>13</v>
      </c>
      <c r="B15" t="s">
        <v>22</v>
      </c>
      <c r="C15">
        <v>0.8</v>
      </c>
      <c r="D15">
        <v>0.5714285714285714</v>
      </c>
      <c r="E15">
        <v>0.91111111111111109</v>
      </c>
      <c r="F15">
        <v>0.91111111111111109</v>
      </c>
      <c r="G15">
        <v>0.77255639097744355</v>
      </c>
      <c r="H15">
        <v>4</v>
      </c>
      <c r="I15" t="s">
        <v>23</v>
      </c>
      <c r="J15" t="s">
        <v>27</v>
      </c>
    </row>
    <row r="16" spans="1:10" x14ac:dyDescent="0.2">
      <c r="A16" s="1">
        <v>14</v>
      </c>
      <c r="B16" t="s">
        <v>22</v>
      </c>
      <c r="C16">
        <v>0.8</v>
      </c>
      <c r="D16">
        <v>0.5714285714285714</v>
      </c>
      <c r="E16">
        <v>0.91111111111111109</v>
      </c>
      <c r="F16">
        <v>0.91111111111111109</v>
      </c>
      <c r="G16">
        <v>0.77255639097744355</v>
      </c>
      <c r="H16">
        <v>5</v>
      </c>
      <c r="I16" t="s">
        <v>23</v>
      </c>
      <c r="J16" t="s">
        <v>28</v>
      </c>
    </row>
    <row r="17" spans="1:10" x14ac:dyDescent="0.2">
      <c r="A17" s="1">
        <v>15</v>
      </c>
      <c r="B17" t="s">
        <v>29</v>
      </c>
      <c r="C17">
        <v>0</v>
      </c>
      <c r="D17">
        <v>0</v>
      </c>
      <c r="E17">
        <v>0.68888888888888888</v>
      </c>
      <c r="F17">
        <v>0.68888888888888888</v>
      </c>
      <c r="G17">
        <v>0.43055555555555558</v>
      </c>
      <c r="H17">
        <v>0</v>
      </c>
      <c r="I17" t="s">
        <v>30</v>
      </c>
      <c r="J17" t="s">
        <v>31</v>
      </c>
    </row>
    <row r="18" spans="1:10" x14ac:dyDescent="0.2">
      <c r="A18" s="1">
        <v>16</v>
      </c>
      <c r="B18" t="s">
        <v>29</v>
      </c>
      <c r="C18">
        <v>1</v>
      </c>
      <c r="D18">
        <v>0.55555555555555558</v>
      </c>
      <c r="E18">
        <v>0.91111111111111109</v>
      </c>
      <c r="F18">
        <v>0.91111111111111109</v>
      </c>
      <c r="G18">
        <v>0.77777777777777779</v>
      </c>
      <c r="H18">
        <v>5</v>
      </c>
      <c r="I18" t="s">
        <v>30</v>
      </c>
      <c r="J18" t="s">
        <v>32</v>
      </c>
    </row>
    <row r="19" spans="1:10" x14ac:dyDescent="0.2">
      <c r="A19" s="1">
        <v>17</v>
      </c>
      <c r="B19" t="s">
        <v>29</v>
      </c>
      <c r="C19">
        <v>1</v>
      </c>
      <c r="D19">
        <v>0.55555555555555558</v>
      </c>
      <c r="E19">
        <v>0.91111111111111109</v>
      </c>
      <c r="F19">
        <v>0.91111111111111109</v>
      </c>
      <c r="G19">
        <v>0.77777777777777779</v>
      </c>
      <c r="H19">
        <v>1</v>
      </c>
      <c r="I19" t="s">
        <v>33</v>
      </c>
      <c r="J19" t="s">
        <v>34</v>
      </c>
    </row>
    <row r="20" spans="1:10" x14ac:dyDescent="0.2">
      <c r="A20" s="1">
        <v>18</v>
      </c>
      <c r="B20" t="s">
        <v>29</v>
      </c>
      <c r="C20">
        <v>1</v>
      </c>
      <c r="D20">
        <v>0.55555555555555558</v>
      </c>
      <c r="E20">
        <v>0.91111111111111109</v>
      </c>
      <c r="F20">
        <v>0.91111111111111109</v>
      </c>
      <c r="G20">
        <v>0.77777777777777779</v>
      </c>
      <c r="H20">
        <v>5</v>
      </c>
      <c r="I20" t="s">
        <v>30</v>
      </c>
      <c r="J20" t="s">
        <v>35</v>
      </c>
    </row>
    <row r="21" spans="1:10" x14ac:dyDescent="0.2">
      <c r="A21" s="1">
        <v>19</v>
      </c>
      <c r="B21" t="s">
        <v>29</v>
      </c>
      <c r="C21">
        <v>1</v>
      </c>
      <c r="D21">
        <v>0.55555555555555558</v>
      </c>
      <c r="E21">
        <v>0.91111111111111109</v>
      </c>
      <c r="F21">
        <v>0.91111111111111109</v>
      </c>
      <c r="G21">
        <v>0.77777777777777779</v>
      </c>
      <c r="H21">
        <v>5</v>
      </c>
      <c r="I21" t="s">
        <v>30</v>
      </c>
      <c r="J21" t="s">
        <v>36</v>
      </c>
    </row>
    <row r="22" spans="1:10" x14ac:dyDescent="0.2">
      <c r="A22" s="1">
        <v>20</v>
      </c>
      <c r="B22" t="s">
        <v>37</v>
      </c>
      <c r="C22">
        <v>0</v>
      </c>
      <c r="D22">
        <v>0</v>
      </c>
      <c r="E22">
        <v>0.77777777777777779</v>
      </c>
      <c r="F22">
        <v>0.77777777777777779</v>
      </c>
      <c r="G22">
        <v>0.4375</v>
      </c>
      <c r="H22">
        <v>0</v>
      </c>
      <c r="I22" t="s">
        <v>38</v>
      </c>
      <c r="J22" t="s">
        <v>39</v>
      </c>
    </row>
    <row r="23" spans="1:10" x14ac:dyDescent="0.2">
      <c r="A23" s="1">
        <v>21</v>
      </c>
      <c r="B23" t="s">
        <v>37</v>
      </c>
      <c r="C23">
        <v>0.6</v>
      </c>
      <c r="D23">
        <v>0.6</v>
      </c>
      <c r="E23">
        <v>0.91111111111111109</v>
      </c>
      <c r="F23">
        <v>0.91111111111111109</v>
      </c>
      <c r="G23">
        <v>0.77499999999999991</v>
      </c>
      <c r="H23">
        <v>4</v>
      </c>
      <c r="I23" t="s">
        <v>38</v>
      </c>
      <c r="J23" t="s">
        <v>40</v>
      </c>
    </row>
    <row r="24" spans="1:10" x14ac:dyDescent="0.2">
      <c r="A24" s="1">
        <v>22</v>
      </c>
      <c r="B24" t="s">
        <v>37</v>
      </c>
      <c r="C24">
        <v>0.6</v>
      </c>
      <c r="D24">
        <v>0.6</v>
      </c>
      <c r="E24">
        <v>0.91111111111111109</v>
      </c>
      <c r="F24">
        <v>0.91111111111111109</v>
      </c>
      <c r="G24">
        <v>0.77499999999999991</v>
      </c>
      <c r="H24">
        <v>2</v>
      </c>
      <c r="I24" t="s">
        <v>38</v>
      </c>
      <c r="J24" t="s">
        <v>41</v>
      </c>
    </row>
    <row r="25" spans="1:10" x14ac:dyDescent="0.2">
      <c r="A25" s="1">
        <v>23</v>
      </c>
      <c r="B25" t="s">
        <v>37</v>
      </c>
      <c r="C25">
        <v>0.6</v>
      </c>
      <c r="D25">
        <v>0.6</v>
      </c>
      <c r="E25">
        <v>0.91111111111111109</v>
      </c>
      <c r="F25">
        <v>0.91111111111111109</v>
      </c>
      <c r="G25">
        <v>0.77499999999999991</v>
      </c>
      <c r="H25">
        <v>5</v>
      </c>
      <c r="I25" t="s">
        <v>38</v>
      </c>
      <c r="J25" t="s">
        <v>42</v>
      </c>
    </row>
    <row r="26" spans="1:10" x14ac:dyDescent="0.2">
      <c r="A26" s="1">
        <v>24</v>
      </c>
      <c r="B26" t="s">
        <v>37</v>
      </c>
      <c r="C26">
        <v>0.6</v>
      </c>
      <c r="D26">
        <v>0.6</v>
      </c>
      <c r="E26">
        <v>0.91111111111111109</v>
      </c>
      <c r="F26">
        <v>0.91111111111111109</v>
      </c>
      <c r="G26">
        <v>0.77499999999999991</v>
      </c>
      <c r="H26">
        <v>4</v>
      </c>
      <c r="I26" t="s">
        <v>43</v>
      </c>
      <c r="J26" t="s">
        <v>44</v>
      </c>
    </row>
    <row r="27" spans="1:10" x14ac:dyDescent="0.2">
      <c r="A27" s="1">
        <v>25</v>
      </c>
      <c r="B27" t="s">
        <v>45</v>
      </c>
      <c r="C27">
        <v>0.4</v>
      </c>
      <c r="D27">
        <v>0.4</v>
      </c>
      <c r="E27">
        <v>0.8666666666666667</v>
      </c>
      <c r="F27">
        <v>0.8666666666666667</v>
      </c>
      <c r="G27">
        <v>0.66250000000000009</v>
      </c>
      <c r="H27">
        <v>1</v>
      </c>
      <c r="I27" t="s">
        <v>46</v>
      </c>
      <c r="J27" t="s">
        <v>47</v>
      </c>
    </row>
    <row r="28" spans="1:10" x14ac:dyDescent="0.2">
      <c r="A28" s="1">
        <v>26</v>
      </c>
      <c r="B28" t="s">
        <v>45</v>
      </c>
      <c r="C28">
        <v>0.8</v>
      </c>
      <c r="D28">
        <v>0.8</v>
      </c>
      <c r="E28">
        <v>0.9555555555555556</v>
      </c>
      <c r="F28">
        <v>0.9555555555555556</v>
      </c>
      <c r="G28">
        <v>0.88749999999999996</v>
      </c>
      <c r="H28">
        <v>5</v>
      </c>
      <c r="I28" t="s">
        <v>46</v>
      </c>
      <c r="J28" t="s">
        <v>48</v>
      </c>
    </row>
    <row r="29" spans="1:10" x14ac:dyDescent="0.2">
      <c r="A29" s="1">
        <v>27</v>
      </c>
      <c r="B29" t="s">
        <v>45</v>
      </c>
      <c r="C29">
        <v>0.8</v>
      </c>
      <c r="D29">
        <v>0.8</v>
      </c>
      <c r="E29">
        <v>0.9555555555555556</v>
      </c>
      <c r="F29">
        <v>0.9555555555555556</v>
      </c>
      <c r="G29">
        <v>0.88749999999999996</v>
      </c>
      <c r="H29">
        <v>5</v>
      </c>
      <c r="I29" t="s">
        <v>46</v>
      </c>
      <c r="J29" t="s">
        <v>49</v>
      </c>
    </row>
    <row r="30" spans="1:10" x14ac:dyDescent="0.2">
      <c r="A30" s="1">
        <v>28</v>
      </c>
      <c r="B30" t="s">
        <v>45</v>
      </c>
      <c r="C30">
        <v>0.8</v>
      </c>
      <c r="D30">
        <v>0.8</v>
      </c>
      <c r="E30">
        <v>0.9555555555555556</v>
      </c>
      <c r="F30">
        <v>0.9555555555555556</v>
      </c>
      <c r="G30">
        <v>0.88749999999999996</v>
      </c>
      <c r="H30">
        <v>4</v>
      </c>
      <c r="I30" t="s">
        <v>46</v>
      </c>
      <c r="J30" t="s">
        <v>50</v>
      </c>
    </row>
    <row r="31" spans="1:10" x14ac:dyDescent="0.2">
      <c r="A31" s="1">
        <v>29</v>
      </c>
      <c r="B31" t="s">
        <v>45</v>
      </c>
      <c r="C31">
        <v>0.8</v>
      </c>
      <c r="D31">
        <v>0.8</v>
      </c>
      <c r="E31">
        <v>0.9555555555555556</v>
      </c>
      <c r="F31">
        <v>0.9555555555555556</v>
      </c>
      <c r="G31">
        <v>0.88749999999999996</v>
      </c>
      <c r="H31">
        <v>5</v>
      </c>
      <c r="I31" t="s">
        <v>46</v>
      </c>
      <c r="J31" t="s">
        <v>51</v>
      </c>
    </row>
    <row r="32" spans="1:10" x14ac:dyDescent="0.2">
      <c r="A32" s="1">
        <v>30</v>
      </c>
      <c r="B32" t="s">
        <v>52</v>
      </c>
      <c r="C32">
        <v>0</v>
      </c>
      <c r="D32">
        <v>0</v>
      </c>
      <c r="E32">
        <v>0.77777777777777779</v>
      </c>
      <c r="F32">
        <v>0.77777777777777779</v>
      </c>
      <c r="G32">
        <v>0.4375</v>
      </c>
      <c r="H32">
        <v>0</v>
      </c>
      <c r="I32" t="s">
        <v>53</v>
      </c>
      <c r="J32" t="s">
        <v>54</v>
      </c>
    </row>
    <row r="33" spans="1:10" x14ac:dyDescent="0.2">
      <c r="A33" s="1">
        <v>31</v>
      </c>
      <c r="B33" t="s">
        <v>52</v>
      </c>
      <c r="C33">
        <v>0.6</v>
      </c>
      <c r="D33">
        <v>0.6</v>
      </c>
      <c r="E33">
        <v>0.91111111111111109</v>
      </c>
      <c r="F33">
        <v>0.91111111111111109</v>
      </c>
      <c r="G33">
        <v>0.77499999999999991</v>
      </c>
      <c r="H33">
        <v>5</v>
      </c>
      <c r="I33" t="s">
        <v>53</v>
      </c>
      <c r="J33" t="s">
        <v>55</v>
      </c>
    </row>
    <row r="34" spans="1:10" x14ac:dyDescent="0.2">
      <c r="A34" s="1">
        <v>32</v>
      </c>
      <c r="B34" t="s">
        <v>52</v>
      </c>
      <c r="C34">
        <v>0.6</v>
      </c>
      <c r="D34">
        <v>0.6</v>
      </c>
      <c r="E34">
        <v>0.91111111111111109</v>
      </c>
      <c r="F34">
        <v>0.91111111111111109</v>
      </c>
      <c r="G34">
        <v>0.77499999999999991</v>
      </c>
      <c r="H34">
        <v>5</v>
      </c>
      <c r="I34" t="s">
        <v>53</v>
      </c>
      <c r="J34" t="s">
        <v>56</v>
      </c>
    </row>
    <row r="35" spans="1:10" x14ac:dyDescent="0.2">
      <c r="A35" s="1">
        <v>33</v>
      </c>
      <c r="B35" t="s">
        <v>52</v>
      </c>
      <c r="C35">
        <v>0.6</v>
      </c>
      <c r="D35">
        <v>0.6</v>
      </c>
      <c r="E35">
        <v>0.91111111111111109</v>
      </c>
      <c r="F35">
        <v>0.91111111111111109</v>
      </c>
      <c r="G35">
        <v>0.77499999999999991</v>
      </c>
      <c r="H35">
        <v>5</v>
      </c>
      <c r="I35" t="s">
        <v>53</v>
      </c>
      <c r="J35" t="s">
        <v>57</v>
      </c>
    </row>
    <row r="36" spans="1:10" x14ac:dyDescent="0.2">
      <c r="A36" s="1">
        <v>34</v>
      </c>
      <c r="B36" t="s">
        <v>52</v>
      </c>
      <c r="C36">
        <v>0.6</v>
      </c>
      <c r="D36">
        <v>0.6</v>
      </c>
      <c r="E36">
        <v>0.91111111111111109</v>
      </c>
      <c r="F36">
        <v>0.91111111111111109</v>
      </c>
      <c r="G36">
        <v>0.77499999999999991</v>
      </c>
      <c r="H36">
        <v>5</v>
      </c>
      <c r="I36" t="s">
        <v>53</v>
      </c>
      <c r="J36" t="s">
        <v>58</v>
      </c>
    </row>
    <row r="37" spans="1:10" x14ac:dyDescent="0.2">
      <c r="A37" s="1">
        <v>35</v>
      </c>
      <c r="B37" t="s">
        <v>59</v>
      </c>
      <c r="C37">
        <v>0</v>
      </c>
      <c r="D37">
        <v>0</v>
      </c>
      <c r="E37">
        <v>0.77777777777777779</v>
      </c>
      <c r="F37">
        <v>0.77777777777777779</v>
      </c>
      <c r="G37">
        <v>0.4375</v>
      </c>
      <c r="H37">
        <v>0</v>
      </c>
      <c r="I37" t="s">
        <v>60</v>
      </c>
      <c r="J37" t="s">
        <v>61</v>
      </c>
    </row>
    <row r="38" spans="1:10" x14ac:dyDescent="0.2">
      <c r="A38" s="1">
        <v>36</v>
      </c>
      <c r="B38" t="s">
        <v>59</v>
      </c>
      <c r="C38">
        <v>0.75</v>
      </c>
      <c r="D38">
        <v>0.6</v>
      </c>
      <c r="E38">
        <v>0.93333333333333335</v>
      </c>
      <c r="F38">
        <v>0.93333333333333335</v>
      </c>
      <c r="G38">
        <v>0.78749999999999998</v>
      </c>
      <c r="H38">
        <v>1</v>
      </c>
      <c r="I38" t="s">
        <v>60</v>
      </c>
      <c r="J38" t="s">
        <v>62</v>
      </c>
    </row>
    <row r="39" spans="1:10" x14ac:dyDescent="0.2">
      <c r="A39" s="1">
        <v>37</v>
      </c>
      <c r="B39" t="s">
        <v>59</v>
      </c>
      <c r="C39">
        <v>0.75</v>
      </c>
      <c r="D39">
        <v>0.6</v>
      </c>
      <c r="E39">
        <v>0.93333333333333335</v>
      </c>
      <c r="F39">
        <v>0.93333333333333335</v>
      </c>
      <c r="G39">
        <v>0.78749999999999998</v>
      </c>
      <c r="H39">
        <v>1</v>
      </c>
      <c r="I39" t="s">
        <v>60</v>
      </c>
      <c r="J39" t="s">
        <v>63</v>
      </c>
    </row>
    <row r="40" spans="1:10" x14ac:dyDescent="0.2">
      <c r="A40" s="1">
        <v>38</v>
      </c>
      <c r="B40" t="s">
        <v>59</v>
      </c>
      <c r="C40">
        <v>0.75</v>
      </c>
      <c r="D40">
        <v>0.6</v>
      </c>
      <c r="E40">
        <v>0.93333333333333335</v>
      </c>
      <c r="F40">
        <v>0.93333333333333335</v>
      </c>
      <c r="G40">
        <v>0.78749999999999998</v>
      </c>
      <c r="H40">
        <v>1</v>
      </c>
      <c r="I40" t="s">
        <v>64</v>
      </c>
      <c r="J40" t="s">
        <v>65</v>
      </c>
    </row>
    <row r="41" spans="1:10" x14ac:dyDescent="0.2">
      <c r="A41" s="1">
        <v>39</v>
      </c>
      <c r="B41" t="s">
        <v>59</v>
      </c>
      <c r="C41">
        <v>0.75</v>
      </c>
      <c r="D41">
        <v>0.6</v>
      </c>
      <c r="E41">
        <v>0.93333333333333335</v>
      </c>
      <c r="F41">
        <v>0.93333333333333335</v>
      </c>
      <c r="G41">
        <v>0.78749999999999998</v>
      </c>
      <c r="H41">
        <v>4</v>
      </c>
      <c r="I41" t="s">
        <v>60</v>
      </c>
      <c r="J41" t="s">
        <v>66</v>
      </c>
    </row>
    <row r="42" spans="1:10" x14ac:dyDescent="0.2">
      <c r="A42" s="1">
        <v>40</v>
      </c>
      <c r="B42" t="s">
        <v>67</v>
      </c>
      <c r="C42">
        <v>0.25</v>
      </c>
      <c r="D42">
        <v>0.2</v>
      </c>
      <c r="E42">
        <v>0.84444444444444444</v>
      </c>
      <c r="F42">
        <v>0.84444444444444444</v>
      </c>
      <c r="G42">
        <v>0.5625</v>
      </c>
      <c r="H42">
        <v>0</v>
      </c>
      <c r="I42" t="s">
        <v>68</v>
      </c>
      <c r="J42" t="s">
        <v>69</v>
      </c>
    </row>
    <row r="43" spans="1:10" x14ac:dyDescent="0.2">
      <c r="A43" s="1">
        <v>41</v>
      </c>
      <c r="B43" t="s">
        <v>67</v>
      </c>
      <c r="C43">
        <v>0.8</v>
      </c>
      <c r="D43">
        <v>0.8</v>
      </c>
      <c r="E43">
        <v>0.9555555555555556</v>
      </c>
      <c r="F43">
        <v>0.9555555555555556</v>
      </c>
      <c r="G43">
        <v>0.88749999999999996</v>
      </c>
      <c r="H43">
        <v>5</v>
      </c>
      <c r="I43" t="s">
        <v>68</v>
      </c>
      <c r="J43" t="s">
        <v>70</v>
      </c>
    </row>
    <row r="44" spans="1:10" x14ac:dyDescent="0.2">
      <c r="A44" s="1">
        <v>42</v>
      </c>
      <c r="B44" t="s">
        <v>67</v>
      </c>
      <c r="C44">
        <v>0.8</v>
      </c>
      <c r="D44">
        <v>0.8</v>
      </c>
      <c r="E44">
        <v>0.9555555555555556</v>
      </c>
      <c r="F44">
        <v>0.9555555555555556</v>
      </c>
      <c r="G44">
        <v>0.88749999999999996</v>
      </c>
      <c r="H44">
        <v>5</v>
      </c>
      <c r="I44" t="s">
        <v>68</v>
      </c>
      <c r="J44" t="s">
        <v>71</v>
      </c>
    </row>
    <row r="45" spans="1:10" x14ac:dyDescent="0.2">
      <c r="A45" s="1">
        <v>43</v>
      </c>
      <c r="B45" t="s">
        <v>67</v>
      </c>
      <c r="C45">
        <v>0.8</v>
      </c>
      <c r="D45">
        <v>0.8</v>
      </c>
      <c r="E45">
        <v>0.9555555555555556</v>
      </c>
      <c r="F45">
        <v>0.9555555555555556</v>
      </c>
      <c r="G45">
        <v>0.88749999999999996</v>
      </c>
      <c r="H45">
        <v>5</v>
      </c>
      <c r="I45" t="s">
        <v>68</v>
      </c>
      <c r="J45" t="s">
        <v>72</v>
      </c>
    </row>
    <row r="46" spans="1:10" x14ac:dyDescent="0.2">
      <c r="A46" s="1">
        <v>44</v>
      </c>
      <c r="B46" t="s">
        <v>67</v>
      </c>
      <c r="C46">
        <v>0.8</v>
      </c>
      <c r="D46">
        <v>0.8</v>
      </c>
      <c r="E46">
        <v>0.9555555555555556</v>
      </c>
      <c r="F46">
        <v>0.9555555555555556</v>
      </c>
      <c r="G46">
        <v>0.88749999999999996</v>
      </c>
      <c r="H46">
        <v>5</v>
      </c>
      <c r="I46" t="s">
        <v>68</v>
      </c>
      <c r="J46" t="s">
        <v>73</v>
      </c>
    </row>
    <row r="47" spans="1:10" x14ac:dyDescent="0.2">
      <c r="A47" s="1">
        <v>45</v>
      </c>
      <c r="B47" t="s">
        <v>74</v>
      </c>
      <c r="C47">
        <v>0.4</v>
      </c>
      <c r="D47">
        <v>0.4</v>
      </c>
      <c r="E47">
        <v>0.8666666666666667</v>
      </c>
      <c r="F47">
        <v>0.8666666666666667</v>
      </c>
      <c r="G47">
        <v>0.66250000000000009</v>
      </c>
      <c r="H47">
        <v>1</v>
      </c>
      <c r="I47" t="s">
        <v>75</v>
      </c>
      <c r="J47" t="s">
        <v>76</v>
      </c>
    </row>
    <row r="48" spans="1:10" x14ac:dyDescent="0.2">
      <c r="A48" s="1">
        <v>46</v>
      </c>
      <c r="B48" t="s">
        <v>74</v>
      </c>
      <c r="C48">
        <v>0.75</v>
      </c>
      <c r="D48">
        <v>0.6</v>
      </c>
      <c r="E48">
        <v>0.93333333333333335</v>
      </c>
      <c r="F48">
        <v>0.93333333333333335</v>
      </c>
      <c r="G48">
        <v>0.78749999999999998</v>
      </c>
      <c r="H48">
        <v>3</v>
      </c>
      <c r="I48" t="s">
        <v>75</v>
      </c>
      <c r="J48" t="s">
        <v>77</v>
      </c>
    </row>
    <row r="49" spans="1:10" x14ac:dyDescent="0.2">
      <c r="A49" s="1">
        <v>47</v>
      </c>
      <c r="B49" t="s">
        <v>74</v>
      </c>
      <c r="C49">
        <v>0.75</v>
      </c>
      <c r="D49">
        <v>0.6</v>
      </c>
      <c r="E49">
        <v>0.93333333333333335</v>
      </c>
      <c r="F49">
        <v>0.93333333333333335</v>
      </c>
      <c r="G49">
        <v>0.78749999999999998</v>
      </c>
      <c r="H49">
        <v>1</v>
      </c>
      <c r="I49" t="s">
        <v>75</v>
      </c>
      <c r="J49" t="s">
        <v>78</v>
      </c>
    </row>
    <row r="50" spans="1:10" x14ac:dyDescent="0.2">
      <c r="A50" s="1">
        <v>48</v>
      </c>
      <c r="B50" t="s">
        <v>74</v>
      </c>
      <c r="C50">
        <v>0.75</v>
      </c>
      <c r="D50">
        <v>0.6</v>
      </c>
      <c r="E50">
        <v>0.93333333333333335</v>
      </c>
      <c r="F50">
        <v>0.93333333333333335</v>
      </c>
      <c r="G50">
        <v>0.78749999999999998</v>
      </c>
      <c r="H50">
        <v>1</v>
      </c>
      <c r="I50" t="s">
        <v>75</v>
      </c>
      <c r="J50" t="s">
        <v>78</v>
      </c>
    </row>
    <row r="51" spans="1:10" x14ac:dyDescent="0.2">
      <c r="A51" s="1">
        <v>49</v>
      </c>
      <c r="B51" t="s">
        <v>74</v>
      </c>
      <c r="C51">
        <v>0.75</v>
      </c>
      <c r="D51">
        <v>0.6</v>
      </c>
      <c r="E51">
        <v>0.93333333333333335</v>
      </c>
      <c r="F51">
        <v>0.93333333333333335</v>
      </c>
      <c r="G51">
        <v>0.78749999999999998</v>
      </c>
      <c r="H51">
        <v>3</v>
      </c>
      <c r="I51" t="s">
        <v>75</v>
      </c>
      <c r="J51" t="s">
        <v>79</v>
      </c>
    </row>
    <row r="52" spans="1:10" x14ac:dyDescent="0.2">
      <c r="A52" s="1">
        <v>50</v>
      </c>
      <c r="B52" t="s">
        <v>80</v>
      </c>
      <c r="C52">
        <v>0</v>
      </c>
      <c r="D52">
        <v>0</v>
      </c>
      <c r="E52">
        <v>0.8</v>
      </c>
      <c r="F52">
        <v>0.8</v>
      </c>
      <c r="G52">
        <v>0.45</v>
      </c>
      <c r="H52">
        <v>0</v>
      </c>
      <c r="I52" t="s">
        <v>81</v>
      </c>
      <c r="J52" t="s">
        <v>82</v>
      </c>
    </row>
    <row r="53" spans="1:10" x14ac:dyDescent="0.2">
      <c r="A53" s="1">
        <v>51</v>
      </c>
      <c r="B53" t="s">
        <v>80</v>
      </c>
      <c r="C53">
        <v>1</v>
      </c>
      <c r="D53">
        <v>1</v>
      </c>
      <c r="E53">
        <v>1</v>
      </c>
      <c r="F53">
        <v>1</v>
      </c>
      <c r="G53">
        <v>1</v>
      </c>
      <c r="H53">
        <v>5</v>
      </c>
      <c r="I53" t="s">
        <v>81</v>
      </c>
      <c r="J53" t="s">
        <v>83</v>
      </c>
    </row>
    <row r="54" spans="1:10" x14ac:dyDescent="0.2">
      <c r="A54" s="1">
        <v>52</v>
      </c>
      <c r="B54" t="s">
        <v>80</v>
      </c>
      <c r="C54">
        <v>1</v>
      </c>
      <c r="D54">
        <v>1</v>
      </c>
      <c r="E54">
        <v>1</v>
      </c>
      <c r="F54">
        <v>1</v>
      </c>
      <c r="G54">
        <v>1</v>
      </c>
      <c r="H54">
        <v>5</v>
      </c>
      <c r="I54" t="s">
        <v>81</v>
      </c>
      <c r="J54" t="s">
        <v>84</v>
      </c>
    </row>
    <row r="55" spans="1:10" x14ac:dyDescent="0.2">
      <c r="A55" s="1">
        <v>53</v>
      </c>
      <c r="B55" t="s">
        <v>80</v>
      </c>
      <c r="C55">
        <v>1</v>
      </c>
      <c r="D55">
        <v>1</v>
      </c>
      <c r="E55">
        <v>1</v>
      </c>
      <c r="F55">
        <v>1</v>
      </c>
      <c r="G55">
        <v>1</v>
      </c>
      <c r="H55">
        <v>5</v>
      </c>
      <c r="I55" t="s">
        <v>81</v>
      </c>
      <c r="J55" t="s">
        <v>85</v>
      </c>
    </row>
    <row r="56" spans="1:10" x14ac:dyDescent="0.2">
      <c r="A56" s="1">
        <v>54</v>
      </c>
      <c r="B56" t="s">
        <v>80</v>
      </c>
      <c r="C56">
        <v>1</v>
      </c>
      <c r="D56">
        <v>1</v>
      </c>
      <c r="E56">
        <v>1</v>
      </c>
      <c r="F56">
        <v>1</v>
      </c>
      <c r="G56">
        <v>1</v>
      </c>
      <c r="H56">
        <v>5</v>
      </c>
      <c r="I56" t="s">
        <v>81</v>
      </c>
      <c r="J56" t="s">
        <v>86</v>
      </c>
    </row>
    <row r="57" spans="1:10" x14ac:dyDescent="0.2">
      <c r="A57" s="1">
        <v>55</v>
      </c>
      <c r="B57" t="s">
        <v>87</v>
      </c>
      <c r="C57">
        <v>0</v>
      </c>
      <c r="D57">
        <v>0</v>
      </c>
      <c r="E57">
        <v>0.77777777777777779</v>
      </c>
      <c r="F57">
        <v>0.77777777777777779</v>
      </c>
      <c r="G57">
        <v>0.4375</v>
      </c>
      <c r="H57">
        <v>0</v>
      </c>
      <c r="I57" t="s">
        <v>88</v>
      </c>
      <c r="J57" t="s">
        <v>89</v>
      </c>
    </row>
    <row r="58" spans="1:10" x14ac:dyDescent="0.2">
      <c r="A58" s="1">
        <v>56</v>
      </c>
      <c r="B58" t="s">
        <v>87</v>
      </c>
      <c r="C58">
        <v>1</v>
      </c>
      <c r="D58">
        <v>0.2</v>
      </c>
      <c r="E58">
        <v>0.91111111111111109</v>
      </c>
      <c r="F58">
        <v>0.91111111111111109</v>
      </c>
      <c r="G58">
        <v>0.6</v>
      </c>
      <c r="H58">
        <v>1</v>
      </c>
      <c r="I58" t="s">
        <v>88</v>
      </c>
      <c r="J58" t="s">
        <v>90</v>
      </c>
    </row>
    <row r="59" spans="1:10" x14ac:dyDescent="0.2">
      <c r="A59" s="1">
        <v>57</v>
      </c>
      <c r="B59" t="s">
        <v>87</v>
      </c>
      <c r="C59">
        <v>1</v>
      </c>
      <c r="D59">
        <v>0.2</v>
      </c>
      <c r="E59">
        <v>0.91111111111111109</v>
      </c>
      <c r="F59">
        <v>0.91111111111111109</v>
      </c>
      <c r="G59">
        <v>0.6</v>
      </c>
      <c r="H59">
        <v>1</v>
      </c>
      <c r="I59" t="s">
        <v>88</v>
      </c>
      <c r="J59" t="s">
        <v>91</v>
      </c>
    </row>
    <row r="60" spans="1:10" x14ac:dyDescent="0.2">
      <c r="A60" s="1">
        <v>58</v>
      </c>
      <c r="B60" t="s">
        <v>87</v>
      </c>
      <c r="C60">
        <v>1</v>
      </c>
      <c r="D60">
        <v>0.2</v>
      </c>
      <c r="E60">
        <v>0.91111111111111109</v>
      </c>
      <c r="F60">
        <v>0.91111111111111109</v>
      </c>
      <c r="G60">
        <v>0.6</v>
      </c>
      <c r="H60">
        <v>1</v>
      </c>
      <c r="I60" t="s">
        <v>88</v>
      </c>
      <c r="J60" t="s">
        <v>92</v>
      </c>
    </row>
    <row r="61" spans="1:10" x14ac:dyDescent="0.2">
      <c r="A61" s="1">
        <v>59</v>
      </c>
      <c r="B61" t="s">
        <v>87</v>
      </c>
      <c r="C61">
        <v>1</v>
      </c>
      <c r="D61">
        <v>0.2</v>
      </c>
      <c r="E61">
        <v>0.91111111111111109</v>
      </c>
      <c r="F61">
        <v>0.91111111111111109</v>
      </c>
      <c r="G61">
        <v>0.6</v>
      </c>
      <c r="H61">
        <v>1</v>
      </c>
      <c r="I61" t="s">
        <v>88</v>
      </c>
      <c r="J61" t="s">
        <v>93</v>
      </c>
    </row>
    <row r="62" spans="1:10" x14ac:dyDescent="0.2">
      <c r="A62" s="1">
        <v>60</v>
      </c>
      <c r="B62" t="s">
        <v>94</v>
      </c>
      <c r="C62">
        <v>0</v>
      </c>
      <c r="D62">
        <v>0</v>
      </c>
      <c r="E62">
        <v>0.8666666666666667</v>
      </c>
      <c r="F62">
        <v>0.8666666666666667</v>
      </c>
      <c r="G62">
        <v>0.48749999999999999</v>
      </c>
      <c r="H62">
        <v>0</v>
      </c>
      <c r="I62" t="s">
        <v>95</v>
      </c>
      <c r="J62" t="s">
        <v>96</v>
      </c>
    </row>
    <row r="63" spans="1:10" x14ac:dyDescent="0.2">
      <c r="A63" s="1">
        <v>61</v>
      </c>
      <c r="B63" t="s">
        <v>94</v>
      </c>
      <c r="C63">
        <v>0.66666666666666663</v>
      </c>
      <c r="D63">
        <v>0.4</v>
      </c>
      <c r="E63">
        <v>0.91111111111111109</v>
      </c>
      <c r="F63">
        <v>0.91111111111111109</v>
      </c>
      <c r="G63">
        <v>0.6875</v>
      </c>
      <c r="H63">
        <v>3</v>
      </c>
      <c r="I63" t="s">
        <v>95</v>
      </c>
      <c r="J63" t="s">
        <v>96</v>
      </c>
    </row>
    <row r="64" spans="1:10" x14ac:dyDescent="0.2">
      <c r="A64" s="1">
        <v>62</v>
      </c>
      <c r="B64" t="s">
        <v>94</v>
      </c>
      <c r="C64">
        <v>0.66666666666666663</v>
      </c>
      <c r="D64">
        <v>0.4</v>
      </c>
      <c r="E64">
        <v>0.91111111111111109</v>
      </c>
      <c r="F64">
        <v>0.91111111111111109</v>
      </c>
      <c r="G64">
        <v>0.6875</v>
      </c>
      <c r="H64">
        <v>3</v>
      </c>
      <c r="I64" t="s">
        <v>95</v>
      </c>
      <c r="J64" t="s">
        <v>97</v>
      </c>
    </row>
    <row r="65" spans="1:10" x14ac:dyDescent="0.2">
      <c r="A65" s="1">
        <v>63</v>
      </c>
      <c r="B65" t="s">
        <v>94</v>
      </c>
      <c r="C65">
        <v>0.66666666666666663</v>
      </c>
      <c r="D65">
        <v>0.4</v>
      </c>
      <c r="E65">
        <v>0.91111111111111109</v>
      </c>
      <c r="F65">
        <v>0.91111111111111109</v>
      </c>
      <c r="G65">
        <v>0.6875</v>
      </c>
      <c r="H65">
        <v>3</v>
      </c>
      <c r="I65" t="s">
        <v>95</v>
      </c>
      <c r="J65" t="s">
        <v>98</v>
      </c>
    </row>
    <row r="66" spans="1:10" x14ac:dyDescent="0.2">
      <c r="A66" s="1">
        <v>64</v>
      </c>
      <c r="B66" t="s">
        <v>94</v>
      </c>
      <c r="C66">
        <v>0.66666666666666663</v>
      </c>
      <c r="D66">
        <v>0.4</v>
      </c>
      <c r="E66">
        <v>0.91111111111111109</v>
      </c>
      <c r="F66">
        <v>0.91111111111111109</v>
      </c>
      <c r="G66">
        <v>0.6875</v>
      </c>
      <c r="H66">
        <v>3</v>
      </c>
      <c r="I66" t="s">
        <v>95</v>
      </c>
      <c r="J66" t="s">
        <v>99</v>
      </c>
    </row>
    <row r="67" spans="1:10" x14ac:dyDescent="0.2">
      <c r="A67" s="1">
        <v>65</v>
      </c>
      <c r="B67" t="s">
        <v>100</v>
      </c>
      <c r="C67">
        <v>0</v>
      </c>
      <c r="D67">
        <v>0</v>
      </c>
      <c r="E67">
        <v>0.82222222222222219</v>
      </c>
      <c r="F67">
        <v>0.82222222222222219</v>
      </c>
      <c r="G67">
        <v>0.46250000000000002</v>
      </c>
      <c r="H67">
        <v>0</v>
      </c>
      <c r="I67" t="s">
        <v>101</v>
      </c>
      <c r="J67" t="s">
        <v>102</v>
      </c>
    </row>
    <row r="68" spans="1:10" x14ac:dyDescent="0.2">
      <c r="A68" s="1">
        <v>66</v>
      </c>
      <c r="B68" t="s">
        <v>100</v>
      </c>
      <c r="C68">
        <v>0.8</v>
      </c>
      <c r="D68">
        <v>0.8</v>
      </c>
      <c r="E68">
        <v>0.9555555555555556</v>
      </c>
      <c r="F68">
        <v>0.9555555555555556</v>
      </c>
      <c r="G68">
        <v>0.88749999999999996</v>
      </c>
      <c r="H68">
        <v>5</v>
      </c>
      <c r="I68" t="s">
        <v>101</v>
      </c>
      <c r="J68" t="s">
        <v>103</v>
      </c>
    </row>
    <row r="69" spans="1:10" x14ac:dyDescent="0.2">
      <c r="A69" s="1">
        <v>67</v>
      </c>
      <c r="B69" t="s">
        <v>100</v>
      </c>
      <c r="C69">
        <v>0.8</v>
      </c>
      <c r="D69">
        <v>0.8</v>
      </c>
      <c r="E69">
        <v>0.9555555555555556</v>
      </c>
      <c r="F69">
        <v>0.9555555555555556</v>
      </c>
      <c r="G69">
        <v>0.88749999999999996</v>
      </c>
      <c r="H69">
        <v>5</v>
      </c>
      <c r="I69" t="s">
        <v>101</v>
      </c>
      <c r="J69" t="s">
        <v>104</v>
      </c>
    </row>
    <row r="70" spans="1:10" x14ac:dyDescent="0.2">
      <c r="A70" s="1">
        <v>68</v>
      </c>
      <c r="B70" t="s">
        <v>100</v>
      </c>
      <c r="C70">
        <v>0.8</v>
      </c>
      <c r="D70">
        <v>0.8</v>
      </c>
      <c r="E70">
        <v>0.9555555555555556</v>
      </c>
      <c r="F70">
        <v>0.9555555555555556</v>
      </c>
      <c r="G70">
        <v>0.88749999999999996</v>
      </c>
      <c r="H70">
        <v>5</v>
      </c>
      <c r="I70" t="s">
        <v>101</v>
      </c>
      <c r="J70" t="s">
        <v>105</v>
      </c>
    </row>
    <row r="71" spans="1:10" x14ac:dyDescent="0.2">
      <c r="A71" s="1">
        <v>69</v>
      </c>
      <c r="B71" t="s">
        <v>100</v>
      </c>
      <c r="C71">
        <v>0.8</v>
      </c>
      <c r="D71">
        <v>0.8</v>
      </c>
      <c r="E71">
        <v>0.9555555555555556</v>
      </c>
      <c r="F71">
        <v>0.9555555555555556</v>
      </c>
      <c r="G71">
        <v>0.88749999999999996</v>
      </c>
      <c r="H71">
        <v>5</v>
      </c>
      <c r="I71" t="s">
        <v>101</v>
      </c>
      <c r="J71" t="s">
        <v>106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9102-22A1-C64A-88CB-289B62D6265D}">
  <dimension ref="A1:O296"/>
  <sheetViews>
    <sheetView topLeftCell="C1" workbookViewId="0">
      <selection activeCell="H36" sqref="H36"/>
    </sheetView>
  </sheetViews>
  <sheetFormatPr baseColWidth="10" defaultRowHeight="15" x14ac:dyDescent="0.2"/>
  <cols>
    <col min="1" max="2" width="24.33203125" customWidth="1"/>
    <col min="3" max="3" width="18.5" customWidth="1"/>
    <col min="4" max="4" width="27.1640625" bestFit="1" customWidth="1"/>
    <col min="5" max="5" width="27.33203125" bestFit="1" customWidth="1"/>
    <col min="6" max="6" width="22.5" bestFit="1" customWidth="1"/>
    <col min="7" max="7" width="35.33203125" customWidth="1"/>
    <col min="8" max="8" width="38" customWidth="1"/>
    <col min="9" max="9" width="27.1640625" bestFit="1" customWidth="1"/>
    <col min="10" max="10" width="20.1640625" bestFit="1" customWidth="1"/>
    <col min="11" max="11" width="20" bestFit="1" customWidth="1"/>
  </cols>
  <sheetData>
    <row r="1" spans="1:15" x14ac:dyDescent="0.2">
      <c r="A1" s="1" t="s">
        <v>7</v>
      </c>
      <c r="B1" t="s">
        <v>145</v>
      </c>
    </row>
    <row r="2" spans="1:15" x14ac:dyDescent="0.2">
      <c r="A2">
        <v>0.65199819999999997</v>
      </c>
      <c r="B2" t="s">
        <v>115</v>
      </c>
      <c r="D2" s="2" t="s">
        <v>107</v>
      </c>
      <c r="E2" t="s">
        <v>146</v>
      </c>
      <c r="F2" t="s">
        <v>149</v>
      </c>
      <c r="G2" s="5" t="s">
        <v>147</v>
      </c>
      <c r="H2" s="5" t="s">
        <v>148</v>
      </c>
      <c r="M2" s="2" t="s">
        <v>107</v>
      </c>
      <c r="N2" t="s">
        <v>150</v>
      </c>
      <c r="O2" t="s">
        <v>151</v>
      </c>
    </row>
    <row r="3" spans="1:15" x14ac:dyDescent="0.2">
      <c r="A3">
        <v>0.65199819999999997</v>
      </c>
      <c r="B3" t="s">
        <v>115</v>
      </c>
      <c r="D3" s="3" t="s">
        <v>143</v>
      </c>
      <c r="E3" s="6">
        <v>0.10837587200000001</v>
      </c>
      <c r="F3" s="6">
        <v>2.531899769066102E-5</v>
      </c>
      <c r="G3" s="6">
        <f>_xlfn.XLOOKUP(D3,'[1]avg doc score'!$E:$E,'[1]avg doc score'!$F:$F,0)</f>
        <v>0</v>
      </c>
      <c r="H3" s="6">
        <f>_xlfn.XLOOKUP(D3,'[2]avg doc score'!$E:$E,'[2]avg doc score'!$F:$F,0)</f>
        <v>0.14053692000000001</v>
      </c>
      <c r="M3" s="3" t="s">
        <v>143</v>
      </c>
      <c r="N3" s="6">
        <v>0.10838719500000001</v>
      </c>
      <c r="O3" s="6">
        <v>0.10833058</v>
      </c>
    </row>
    <row r="4" spans="1:15" x14ac:dyDescent="0.2">
      <c r="A4">
        <v>0.65199819999999997</v>
      </c>
      <c r="B4" t="s">
        <v>115</v>
      </c>
      <c r="D4" s="3" t="s">
        <v>136</v>
      </c>
      <c r="E4" s="6">
        <v>0.17677137000000001</v>
      </c>
      <c r="F4" s="6" t="e">
        <v>#DIV/0!</v>
      </c>
      <c r="G4" s="6">
        <f>_xlfn.XLOOKUP(D4,'[1]avg doc score'!$E:$E,'[1]avg doc score'!$F:$F,0)</f>
        <v>0.17389092</v>
      </c>
      <c r="H4" s="6">
        <f>_xlfn.XLOOKUP(D4,'[2]avg doc score'!$E:$E,'[2]avg doc score'!$F:$F,0)</f>
        <v>0.15831774000000001</v>
      </c>
      <c r="M4" s="3" t="s">
        <v>124</v>
      </c>
      <c r="N4" s="6">
        <v>0.81909920000000003</v>
      </c>
      <c r="O4" s="6">
        <v>0.63506459999999998</v>
      </c>
    </row>
    <row r="5" spans="1:15" x14ac:dyDescent="0.2">
      <c r="A5">
        <v>0.65199819999999997</v>
      </c>
      <c r="B5" t="s">
        <v>115</v>
      </c>
      <c r="D5" s="3" t="s">
        <v>116</v>
      </c>
      <c r="E5" s="6">
        <v>0.23333798466666669</v>
      </c>
      <c r="F5" s="6">
        <v>1.76866799108381E-2</v>
      </c>
      <c r="G5" s="6">
        <f>_xlfn.XLOOKUP(D5,'[1]avg doc score'!$E:$E,'[1]avg doc score'!$F:$F,0)</f>
        <v>0.22407173133333333</v>
      </c>
      <c r="H5" s="6">
        <f>_xlfn.XLOOKUP(D5,'[2]avg doc score'!$E:$E,'[2]avg doc score'!$F:$F,0)</f>
        <v>0.2380918345000001</v>
      </c>
      <c r="M5" s="3" t="s">
        <v>123</v>
      </c>
      <c r="N5" s="6">
        <v>0.47022631999999998</v>
      </c>
      <c r="O5" s="6">
        <v>0.11645239</v>
      </c>
    </row>
    <row r="6" spans="1:15" x14ac:dyDescent="0.2">
      <c r="A6">
        <v>0.65199819999999997</v>
      </c>
      <c r="B6" t="s">
        <v>115</v>
      </c>
      <c r="D6" s="3" t="s">
        <v>130</v>
      </c>
      <c r="E6" s="6">
        <v>0.24761215</v>
      </c>
      <c r="F6" s="6">
        <v>0.11995678666827396</v>
      </c>
      <c r="G6" s="6">
        <f>_xlfn.XLOOKUP(D6,'[1]avg doc score'!$E:$E,'[1]avg doc score'!$F:$F,0)</f>
        <v>0.22315101999999998</v>
      </c>
      <c r="H6" s="6">
        <f>_xlfn.XLOOKUP(D6,'[2]avg doc score'!$E:$E,'[2]avg doc score'!$F:$F,0)</f>
        <v>0.24088813749999999</v>
      </c>
      <c r="M6" s="3" t="s">
        <v>116</v>
      </c>
      <c r="N6" s="6">
        <v>0.25660416000000003</v>
      </c>
      <c r="O6" s="6">
        <v>0.21601190000000001</v>
      </c>
    </row>
    <row r="7" spans="1:15" x14ac:dyDescent="0.2">
      <c r="A7">
        <v>0.22735818999999999</v>
      </c>
      <c r="B7" t="s">
        <v>116</v>
      </c>
      <c r="D7" s="3" t="s">
        <v>123</v>
      </c>
      <c r="E7" s="6">
        <v>0.29333935500000002</v>
      </c>
      <c r="F7" s="6">
        <v>0.18645523259816205</v>
      </c>
      <c r="G7" s="6">
        <f>_xlfn.XLOOKUP(D7,'[1]avg doc score'!$E:$E,'[1]avg doc score'!$F:$F,0)</f>
        <v>0.29217876000000009</v>
      </c>
      <c r="H7" s="6">
        <f>_xlfn.XLOOKUP(D7,'[2]avg doc score'!$E:$E,'[2]avg doc score'!$F:$F,0)</f>
        <v>0.40059755499999994</v>
      </c>
      <c r="M7" s="3" t="s">
        <v>140</v>
      </c>
      <c r="N7" s="6">
        <v>0.71568290000000001</v>
      </c>
      <c r="O7" s="6">
        <v>0.71568290000000001</v>
      </c>
    </row>
    <row r="8" spans="1:15" x14ac:dyDescent="0.2">
      <c r="A8">
        <v>0.22735818999999999</v>
      </c>
      <c r="B8" t="s">
        <v>116</v>
      </c>
      <c r="D8" s="3" t="s">
        <v>135</v>
      </c>
      <c r="E8" s="6">
        <v>0.30744355666666667</v>
      </c>
      <c r="F8" s="6">
        <v>0.15481180105289452</v>
      </c>
      <c r="G8" s="6">
        <f>_xlfn.XLOOKUP(D8,'[1]avg doc score'!$E:$E,'[1]avg doc score'!$F:$F,0)</f>
        <v>0</v>
      </c>
      <c r="H8" s="6">
        <f>_xlfn.XLOOKUP(D8,'[2]avg doc score'!$E:$E,'[2]avg doc score'!$F:$F,0)</f>
        <v>0</v>
      </c>
      <c r="M8" s="3" t="s">
        <v>118</v>
      </c>
      <c r="N8" s="6">
        <v>0.95696133000000005</v>
      </c>
      <c r="O8" s="6">
        <v>0.74763480000000004</v>
      </c>
    </row>
    <row r="9" spans="1:15" x14ac:dyDescent="0.2">
      <c r="A9">
        <v>0.22735818999999999</v>
      </c>
      <c r="B9" t="s">
        <v>116</v>
      </c>
      <c r="D9" s="3" t="s">
        <v>126</v>
      </c>
      <c r="E9" s="6">
        <v>0.32524477800000007</v>
      </c>
      <c r="F9" s="6">
        <v>6.6112287022570574E-3</v>
      </c>
      <c r="G9" s="6">
        <f>_xlfn.XLOOKUP(D9,'[1]avg doc score'!$E:$E,'[1]avg doc score'!$F:$F,0)</f>
        <v>0.30259760000000002</v>
      </c>
      <c r="H9" s="6">
        <f>_xlfn.XLOOKUP(D9,'[2]avg doc score'!$E:$E,'[2]avg doc score'!$F:$F,0)</f>
        <v>0.33921495000000002</v>
      </c>
      <c r="M9" s="3" t="s">
        <v>130</v>
      </c>
      <c r="N9" s="6">
        <v>0.36141315000000002</v>
      </c>
      <c r="O9" s="6">
        <v>0.13381114999999999</v>
      </c>
    </row>
    <row r="10" spans="1:15" x14ac:dyDescent="0.2">
      <c r="A10">
        <v>0.22735818999999999</v>
      </c>
      <c r="B10" t="s">
        <v>116</v>
      </c>
      <c r="D10" s="3" t="s">
        <v>134</v>
      </c>
      <c r="E10" s="6">
        <v>0.36283834733333331</v>
      </c>
      <c r="F10" s="6">
        <v>0.13306338688582239</v>
      </c>
      <c r="G10" s="6">
        <f>_xlfn.XLOOKUP(D10,'[1]avg doc score'!$E:$E,'[1]avg doc score'!$F:$F,0)</f>
        <v>0.33245617249999998</v>
      </c>
      <c r="H10" s="6">
        <f>_xlfn.XLOOKUP(D10,'[2]avg doc score'!$E:$E,'[2]avg doc score'!$F:$F,0)</f>
        <v>0.60251958000000017</v>
      </c>
      <c r="M10" s="3" t="s">
        <v>134</v>
      </c>
      <c r="N10" s="6">
        <v>0.53181785000000004</v>
      </c>
      <c r="O10" s="6">
        <v>0.22025895000000001</v>
      </c>
    </row>
    <row r="11" spans="1:15" x14ac:dyDescent="0.2">
      <c r="A11">
        <v>0.22735818999999999</v>
      </c>
      <c r="B11" t="s">
        <v>116</v>
      </c>
      <c r="D11" s="3" t="s">
        <v>120</v>
      </c>
      <c r="E11" s="6">
        <v>0.3752652700000001</v>
      </c>
      <c r="F11" s="6">
        <v>0.26765461119291478</v>
      </c>
      <c r="G11" s="6">
        <f>_xlfn.XLOOKUP(D11,'[1]avg doc score'!$E:$E,'[1]avg doc score'!$F:$F,0)</f>
        <v>0.38487724333333334</v>
      </c>
      <c r="H11" s="6">
        <f>_xlfn.XLOOKUP(D11,'[2]avg doc score'!$E:$E,'[2]avg doc score'!$F:$F,0)</f>
        <v>0.37355851499999998</v>
      </c>
      <c r="M11" s="3" t="s">
        <v>138</v>
      </c>
      <c r="N11" s="6">
        <v>0.51720569999999999</v>
      </c>
      <c r="O11" s="6">
        <v>0.51720569999999999</v>
      </c>
    </row>
    <row r="12" spans="1:15" x14ac:dyDescent="0.2">
      <c r="A12">
        <v>0.79732053999999997</v>
      </c>
      <c r="B12" t="s">
        <v>117</v>
      </c>
      <c r="D12" s="3" t="s">
        <v>115</v>
      </c>
      <c r="E12" s="6">
        <v>0.42048184333333333</v>
      </c>
      <c r="F12" s="6">
        <v>0.17144337679947338</v>
      </c>
      <c r="G12" s="6">
        <f>_xlfn.XLOOKUP(D12,'[1]avg doc score'!$E:$E,'[1]avg doc score'!$F:$F,0)</f>
        <v>0.35937489250000004</v>
      </c>
      <c r="H12" s="6">
        <f>_xlfn.XLOOKUP(D12,'[2]avg doc score'!$E:$E,'[2]avg doc score'!$F:$F,0)</f>
        <v>0.44670673666666671</v>
      </c>
      <c r="M12" s="3" t="s">
        <v>115</v>
      </c>
      <c r="N12" s="6">
        <v>0.65199819999999997</v>
      </c>
      <c r="O12" s="6">
        <v>0.27390003000000002</v>
      </c>
    </row>
    <row r="13" spans="1:15" x14ac:dyDescent="0.2">
      <c r="A13">
        <v>0.79732053999999997</v>
      </c>
      <c r="B13" t="s">
        <v>117</v>
      </c>
      <c r="D13" s="3" t="s">
        <v>127</v>
      </c>
      <c r="E13" s="6">
        <v>0.46963706599999994</v>
      </c>
      <c r="F13" s="6">
        <v>9.0011079301001176E-2</v>
      </c>
      <c r="G13" s="6">
        <f>_xlfn.XLOOKUP(D13,'[1]avg doc score'!$E:$E,'[1]avg doc score'!$F:$F,0)</f>
        <v>0.4636132</v>
      </c>
      <c r="H13" s="6">
        <f>_xlfn.XLOOKUP(D13,'[2]avg doc score'!$E:$E,'[2]avg doc score'!$F:$F,0)</f>
        <v>0.40011453249999995</v>
      </c>
      <c r="M13" s="3" t="s">
        <v>141</v>
      </c>
      <c r="N13" s="6">
        <v>0.93694025000000003</v>
      </c>
      <c r="O13" s="6">
        <v>0.93694025000000003</v>
      </c>
    </row>
    <row r="14" spans="1:15" x14ac:dyDescent="0.2">
      <c r="A14">
        <v>0.79732053999999997</v>
      </c>
      <c r="B14" t="s">
        <v>117</v>
      </c>
      <c r="D14" s="3" t="s">
        <v>144</v>
      </c>
      <c r="E14" s="6">
        <v>0.47241633999999999</v>
      </c>
      <c r="F14" s="6">
        <v>0</v>
      </c>
      <c r="G14" s="6">
        <f>_xlfn.XLOOKUP(D14,'[1]avg doc score'!$E:$E,'[1]avg doc score'!$F:$F,0)</f>
        <v>0.31280202500000009</v>
      </c>
      <c r="H14" s="6">
        <f>_xlfn.XLOOKUP(D14,'[2]avg doc score'!$E:$E,'[2]avg doc score'!$F:$F,0)</f>
        <v>0.63443416599999991</v>
      </c>
      <c r="M14" s="3" t="s">
        <v>129</v>
      </c>
      <c r="N14" s="6">
        <v>0.54056070000000001</v>
      </c>
      <c r="O14" s="6">
        <v>0.54041510000000004</v>
      </c>
    </row>
    <row r="15" spans="1:15" x14ac:dyDescent="0.2">
      <c r="A15">
        <v>0.79732053999999997</v>
      </c>
      <c r="B15" t="s">
        <v>117</v>
      </c>
      <c r="D15" s="3" t="s">
        <v>117</v>
      </c>
      <c r="E15" s="6">
        <v>0.49310513333333322</v>
      </c>
      <c r="F15" s="6">
        <v>0.2826272345991353</v>
      </c>
      <c r="G15" s="6">
        <f>_xlfn.XLOOKUP(D15,'[1]avg doc score'!$E:$E,'[1]avg doc score'!$F:$F,0)</f>
        <v>0.50902492187500004</v>
      </c>
      <c r="H15" s="6">
        <f>_xlfn.XLOOKUP(D15,'[2]avg doc score'!$E:$E,'[2]avg doc score'!$F:$F,0)</f>
        <v>0.50976659499999999</v>
      </c>
      <c r="M15" s="3" t="s">
        <v>139</v>
      </c>
      <c r="N15" s="6">
        <v>0.85363259999999996</v>
      </c>
      <c r="O15" s="6">
        <v>0.85363259999999996</v>
      </c>
    </row>
    <row r="16" spans="1:15" x14ac:dyDescent="0.2">
      <c r="A16">
        <v>0.79732053999999997</v>
      </c>
      <c r="B16" t="s">
        <v>117</v>
      </c>
      <c r="D16" s="3" t="s">
        <v>138</v>
      </c>
      <c r="E16" s="6">
        <v>0.51720569999999999</v>
      </c>
      <c r="F16" s="6">
        <v>7.4505805969238281E-9</v>
      </c>
      <c r="G16" s="6">
        <f>_xlfn.XLOOKUP(D16,'[1]avg doc score'!$E:$E,'[1]avg doc score'!$F:$F,0)</f>
        <v>0.52480930000000003</v>
      </c>
      <c r="H16" s="6">
        <f>_xlfn.XLOOKUP(D16,'[2]avg doc score'!$E:$E,'[2]avg doc score'!$F:$F,0)</f>
        <v>0.39641916999999999</v>
      </c>
      <c r="M16" s="3" t="s">
        <v>127</v>
      </c>
      <c r="N16" s="6">
        <v>0.56027729999999998</v>
      </c>
      <c r="O16" s="6">
        <v>0.32875618000000001</v>
      </c>
    </row>
    <row r="17" spans="1:15" x14ac:dyDescent="0.2">
      <c r="A17">
        <v>0.74763480000000004</v>
      </c>
      <c r="B17" t="s">
        <v>118</v>
      </c>
      <c r="D17" s="3" t="s">
        <v>137</v>
      </c>
      <c r="E17" s="6">
        <v>0.52327754000000004</v>
      </c>
      <c r="F17" s="6">
        <v>5.0532733208766417E-2</v>
      </c>
      <c r="G17" s="6">
        <f>_xlfn.XLOOKUP(D17,'[1]avg doc score'!$E:$E,'[1]avg doc score'!$F:$F,0)</f>
        <v>0.54014781090909103</v>
      </c>
      <c r="H17" s="6">
        <f>_xlfn.XLOOKUP(D17,'[2]avg doc score'!$E:$E,'[2]avg doc score'!$F:$F,0)</f>
        <v>0.50971825733333342</v>
      </c>
      <c r="M17" s="3" t="s">
        <v>120</v>
      </c>
      <c r="N17" s="6">
        <v>0.74094409999999999</v>
      </c>
      <c r="O17" s="6">
        <v>0.19046825000000001</v>
      </c>
    </row>
    <row r="18" spans="1:15" x14ac:dyDescent="0.2">
      <c r="A18">
        <v>0.74763480000000004</v>
      </c>
      <c r="B18" t="s">
        <v>118</v>
      </c>
      <c r="D18" s="3" t="s">
        <v>142</v>
      </c>
      <c r="E18" s="6">
        <v>0.52897513499999993</v>
      </c>
      <c r="F18" s="6">
        <v>0.21190060519996243</v>
      </c>
      <c r="G18" s="6">
        <f>_xlfn.XLOOKUP(D18,'[1]avg doc score'!$E:$E,'[1]avg doc score'!$F:$F,0)</f>
        <v>0.52498712999999997</v>
      </c>
      <c r="H18" s="6">
        <f>_xlfn.XLOOKUP(D18,'[2]avg doc score'!$E:$E,'[2]avg doc score'!$F:$F,0)</f>
        <v>0.59891786999999996</v>
      </c>
      <c r="M18" s="3" t="s">
        <v>137</v>
      </c>
      <c r="N18" s="6">
        <v>0.57121710000000003</v>
      </c>
      <c r="O18" s="6">
        <v>0.47533797999999999</v>
      </c>
    </row>
    <row r="19" spans="1:15" x14ac:dyDescent="0.2">
      <c r="A19">
        <v>0.74807674000000002</v>
      </c>
      <c r="B19" t="s">
        <v>118</v>
      </c>
      <c r="D19" s="3" t="s">
        <v>129</v>
      </c>
      <c r="E19" s="6">
        <v>0.54044422000000003</v>
      </c>
      <c r="F19" s="6">
        <v>6.5114300000450575E-5</v>
      </c>
      <c r="G19" s="6">
        <f>_xlfn.XLOOKUP(D19,'[1]avg doc score'!$E:$E,'[1]avg doc score'!$F:$F,0)</f>
        <v>0</v>
      </c>
      <c r="H19" s="6">
        <f>_xlfn.XLOOKUP(D19,'[2]avg doc score'!$E:$E,'[2]avg doc score'!$F:$F,0)</f>
        <v>0</v>
      </c>
      <c r="M19" s="3" t="s">
        <v>126</v>
      </c>
      <c r="N19" s="6">
        <v>0.33157461999999999</v>
      </c>
      <c r="O19" s="6">
        <v>0.31897335999999998</v>
      </c>
    </row>
    <row r="20" spans="1:15" x14ac:dyDescent="0.2">
      <c r="A20">
        <v>0.74763480000000004</v>
      </c>
      <c r="B20" t="s">
        <v>118</v>
      </c>
      <c r="D20" s="3" t="s">
        <v>132</v>
      </c>
      <c r="E20" s="6">
        <v>0.54412447500000005</v>
      </c>
      <c r="F20" s="6">
        <v>4.2418924295067571E-2</v>
      </c>
      <c r="G20" s="6">
        <f>_xlfn.XLOOKUP(D20,'[1]avg doc score'!$E:$E,'[1]avg doc score'!$F:$F,0)</f>
        <v>0.54474180999999999</v>
      </c>
      <c r="H20" s="6">
        <f>_xlfn.XLOOKUP(D20,'[2]avg doc score'!$E:$E,'[2]avg doc score'!$F:$F,0)</f>
        <v>0.51829862500000012</v>
      </c>
      <c r="M20" s="3" t="s">
        <v>121</v>
      </c>
      <c r="N20" s="6">
        <v>0.91099799999999997</v>
      </c>
      <c r="O20" s="6">
        <v>0.52656250000000004</v>
      </c>
    </row>
    <row r="21" spans="1:15" x14ac:dyDescent="0.2">
      <c r="A21">
        <v>0.74763480000000004</v>
      </c>
      <c r="B21" t="s">
        <v>118</v>
      </c>
      <c r="D21" s="3" t="s">
        <v>122</v>
      </c>
      <c r="E21" s="6">
        <v>0.56059696999999986</v>
      </c>
      <c r="F21" s="6">
        <v>0.30269491228123901</v>
      </c>
      <c r="G21" s="6">
        <f>_xlfn.XLOOKUP(D21,'[1]avg doc score'!$E:$E,'[1]avg doc score'!$F:$F,0)</f>
        <v>0.57721637500000011</v>
      </c>
      <c r="H21" s="6">
        <f>_xlfn.XLOOKUP(D21,'[2]avg doc score'!$E:$E,'[2]avg doc score'!$F:$F,0)</f>
        <v>0.62186232499999983</v>
      </c>
      <c r="M21" s="3" t="s">
        <v>117</v>
      </c>
      <c r="N21" s="6">
        <v>0.79732053999999997</v>
      </c>
      <c r="O21" s="6">
        <v>0.13503831999999999</v>
      </c>
    </row>
    <row r="22" spans="1:15" x14ac:dyDescent="0.2">
      <c r="A22">
        <v>0.8991304</v>
      </c>
      <c r="B22" t="s">
        <v>119</v>
      </c>
      <c r="D22" s="3" t="s">
        <v>119</v>
      </c>
      <c r="E22" s="6">
        <v>0.5862057850000002</v>
      </c>
      <c r="F22" s="6">
        <v>0.2600582109894557</v>
      </c>
      <c r="G22" s="6">
        <f>_xlfn.XLOOKUP(D22,'[1]avg doc score'!$E:$E,'[1]avg doc score'!$F:$F,0)</f>
        <v>0.60809920904761883</v>
      </c>
      <c r="H22" s="6">
        <f>_xlfn.XLOOKUP(D22,'[2]avg doc score'!$E:$E,'[2]avg doc score'!$F:$F,0)</f>
        <v>0.71322715500000045</v>
      </c>
      <c r="M22" s="3" t="s">
        <v>136</v>
      </c>
      <c r="N22" s="6">
        <v>0.17677137000000001</v>
      </c>
      <c r="O22" s="6">
        <v>0.17677137000000001</v>
      </c>
    </row>
    <row r="23" spans="1:15" x14ac:dyDescent="0.2">
      <c r="A23">
        <v>0.8991304</v>
      </c>
      <c r="B23" t="s">
        <v>119</v>
      </c>
      <c r="D23" s="3" t="s">
        <v>133</v>
      </c>
      <c r="E23" s="6">
        <v>0.68761579999999978</v>
      </c>
      <c r="F23" s="6">
        <v>0.15647576116472142</v>
      </c>
      <c r="G23" s="6">
        <f>_xlfn.XLOOKUP(D23,'[1]avg doc score'!$E:$E,'[1]avg doc score'!$F:$F,0)</f>
        <v>0.68999980666666683</v>
      </c>
      <c r="H23" s="6">
        <f>_xlfn.XLOOKUP(D23,'[2]avg doc score'!$E:$E,'[2]avg doc score'!$F:$F,0)</f>
        <v>0.66593574999999994</v>
      </c>
      <c r="M23" s="3" t="s">
        <v>142</v>
      </c>
      <c r="N23" s="6">
        <v>0.73000169999999998</v>
      </c>
      <c r="O23" s="6">
        <v>0.32794856999999999</v>
      </c>
    </row>
    <row r="24" spans="1:15" x14ac:dyDescent="0.2">
      <c r="A24">
        <v>0.8991304</v>
      </c>
      <c r="B24" t="s">
        <v>119</v>
      </c>
      <c r="D24" s="3" t="s">
        <v>140</v>
      </c>
      <c r="E24" s="6">
        <v>0.71568290000000001</v>
      </c>
      <c r="F24" s="6">
        <v>0</v>
      </c>
      <c r="G24" s="6">
        <f>_xlfn.XLOOKUP(D24,'[1]avg doc score'!$E:$E,'[1]avg doc score'!$F:$F,0)</f>
        <v>0.70774870000000001</v>
      </c>
      <c r="H24" s="6">
        <f>_xlfn.XLOOKUP(D24,'[2]avg doc score'!$E:$E,'[2]avg doc score'!$F:$F,0)</f>
        <v>0</v>
      </c>
      <c r="M24" s="3" t="s">
        <v>122</v>
      </c>
      <c r="N24" s="6">
        <v>0.83646140000000002</v>
      </c>
      <c r="O24" s="6">
        <v>0.15583521</v>
      </c>
    </row>
    <row r="25" spans="1:15" x14ac:dyDescent="0.2">
      <c r="A25">
        <v>0.8991304</v>
      </c>
      <c r="B25" t="s">
        <v>119</v>
      </c>
      <c r="D25" s="3" t="s">
        <v>121</v>
      </c>
      <c r="E25" s="6">
        <v>0.7187802499999999</v>
      </c>
      <c r="F25" s="6">
        <v>0.20261529890427685</v>
      </c>
      <c r="G25" s="6">
        <f>_xlfn.XLOOKUP(D25,'[1]avg doc score'!$E:$E,'[1]avg doc score'!$F:$F,0)</f>
        <v>0.90672759999999997</v>
      </c>
      <c r="H25" s="6">
        <f>_xlfn.XLOOKUP(D25,'[2]avg doc score'!$E:$E,'[2]avg doc score'!$F:$F,0)</f>
        <v>0.63463328333333313</v>
      </c>
      <c r="M25" s="3" t="s">
        <v>133</v>
      </c>
      <c r="N25" s="6">
        <v>0.85653679999999999</v>
      </c>
      <c r="O25" s="6">
        <v>0.48967490000000002</v>
      </c>
    </row>
    <row r="26" spans="1:15" x14ac:dyDescent="0.2">
      <c r="A26">
        <v>0.8991304</v>
      </c>
      <c r="B26" t="s">
        <v>119</v>
      </c>
      <c r="D26" s="3" t="s">
        <v>124</v>
      </c>
      <c r="E26" s="6">
        <v>0.72708189999999984</v>
      </c>
      <c r="F26" s="6">
        <v>9.6994750713005909E-2</v>
      </c>
      <c r="G26" s="6">
        <f>_xlfn.XLOOKUP(D26,'[1]avg doc score'!$E:$E,'[1]avg doc score'!$F:$F,0)</f>
        <v>0.72877930000000013</v>
      </c>
      <c r="H26" s="6">
        <f>_xlfn.XLOOKUP(D26,'[2]avg doc score'!$E:$E,'[2]avg doc score'!$F:$F,0)</f>
        <v>0.73398845000000013</v>
      </c>
      <c r="M26" s="3" t="s">
        <v>144</v>
      </c>
      <c r="N26" s="6">
        <v>0.47241633999999999</v>
      </c>
      <c r="O26" s="6">
        <v>0.47241633999999999</v>
      </c>
    </row>
    <row r="27" spans="1:15" x14ac:dyDescent="0.2">
      <c r="A27">
        <v>0.74094409999999999</v>
      </c>
      <c r="B27" t="s">
        <v>120</v>
      </c>
      <c r="D27" s="3" t="s">
        <v>125</v>
      </c>
      <c r="E27" s="6">
        <v>0.73846215000000004</v>
      </c>
      <c r="F27" s="6">
        <v>0</v>
      </c>
      <c r="G27" s="6">
        <f>_xlfn.XLOOKUP(D27,'[1]avg doc score'!$E:$E,'[1]avg doc score'!$F:$F,0)</f>
        <v>0.72207695000000005</v>
      </c>
      <c r="H27" s="6">
        <f>_xlfn.XLOOKUP(D27,'[2]avg doc score'!$E:$E,'[2]avg doc score'!$F:$F,0)</f>
        <v>0.74895920000000005</v>
      </c>
      <c r="M27" s="3" t="s">
        <v>119</v>
      </c>
      <c r="N27" s="6">
        <v>0.8991304</v>
      </c>
      <c r="O27" s="6">
        <v>0.2322322</v>
      </c>
    </row>
    <row r="28" spans="1:15" x14ac:dyDescent="0.2">
      <c r="A28">
        <v>0.74094409999999999</v>
      </c>
      <c r="B28" t="s">
        <v>120</v>
      </c>
      <c r="D28" s="3" t="s">
        <v>131</v>
      </c>
      <c r="E28" s="6">
        <v>0.76826452999999995</v>
      </c>
      <c r="F28" s="6">
        <v>0</v>
      </c>
      <c r="G28" s="6">
        <f>_xlfn.XLOOKUP(D28,'[1]avg doc score'!$E:$E,'[1]avg doc score'!$F:$F,0)</f>
        <v>0.5468963</v>
      </c>
      <c r="H28" s="6">
        <f>_xlfn.XLOOKUP(D28,'[2]avg doc score'!$E:$E,'[2]avg doc score'!$F:$F,0)</f>
        <v>0.75809943999999996</v>
      </c>
      <c r="M28" s="3" t="s">
        <v>128</v>
      </c>
      <c r="N28" s="6">
        <v>0.86136365000000004</v>
      </c>
      <c r="O28" s="6">
        <v>0.86136365000000004</v>
      </c>
    </row>
    <row r="29" spans="1:15" x14ac:dyDescent="0.2">
      <c r="A29">
        <v>0.74094409999999999</v>
      </c>
      <c r="B29" t="s">
        <v>120</v>
      </c>
      <c r="D29" s="3" t="s">
        <v>118</v>
      </c>
      <c r="E29" s="6">
        <v>0.85234225900000005</v>
      </c>
      <c r="F29" s="6">
        <v>0.11027826239805079</v>
      </c>
      <c r="G29" s="6">
        <f>_xlfn.XLOOKUP(D29,'[1]avg doc score'!$E:$E,'[1]avg doc score'!$F:$F,0)</f>
        <v>0.85973333000000007</v>
      </c>
      <c r="H29" s="6">
        <f>_xlfn.XLOOKUP(D29,'[2]avg doc score'!$E:$E,'[2]avg doc score'!$F:$F,0)</f>
        <v>0.8639597349999999</v>
      </c>
      <c r="M29" s="3" t="s">
        <v>135</v>
      </c>
      <c r="N29" s="6">
        <v>0.43799232999999999</v>
      </c>
      <c r="O29" s="6">
        <v>0.14425758999999999</v>
      </c>
    </row>
    <row r="30" spans="1:15" x14ac:dyDescent="0.2">
      <c r="A30">
        <v>0.74094409999999999</v>
      </c>
      <c r="B30" t="s">
        <v>120</v>
      </c>
      <c r="D30" s="3" t="s">
        <v>139</v>
      </c>
      <c r="E30" s="6">
        <v>0.85363259999999985</v>
      </c>
      <c r="F30" s="6">
        <v>1.0536712127723509E-8</v>
      </c>
      <c r="G30" s="6">
        <f>_xlfn.XLOOKUP(D30,'[1]avg doc score'!$E:$E,'[1]avg doc score'!$F:$F,0)</f>
        <v>0.84493459999999998</v>
      </c>
      <c r="H30" s="6">
        <f>_xlfn.XLOOKUP(D30,'[2]avg doc score'!$E:$E,'[2]avg doc score'!$F:$F,0)</f>
        <v>0.89763280000000001</v>
      </c>
      <c r="M30" s="3" t="s">
        <v>132</v>
      </c>
      <c r="N30" s="6">
        <v>0.58436659999999996</v>
      </c>
      <c r="O30" s="6">
        <v>0.50388235000000003</v>
      </c>
    </row>
    <row r="31" spans="1:15" x14ac:dyDescent="0.2">
      <c r="A31">
        <v>0.74094409999999999</v>
      </c>
      <c r="B31" t="s">
        <v>120</v>
      </c>
      <c r="D31" s="3" t="s">
        <v>128</v>
      </c>
      <c r="E31" s="6">
        <v>0.86136365000000004</v>
      </c>
      <c r="F31" s="6">
        <v>0</v>
      </c>
      <c r="G31" s="6">
        <f>_xlfn.XLOOKUP(D31,'[1]avg doc score'!$E:$E,'[1]avg doc score'!$F:$F,0)</f>
        <v>0.86275720000000011</v>
      </c>
      <c r="H31" s="6">
        <f>_xlfn.XLOOKUP(D31,'[2]avg doc score'!$E:$E,'[2]avg doc score'!$F:$F,0)</f>
        <v>0.88611550000000006</v>
      </c>
      <c r="M31" s="3" t="s">
        <v>125</v>
      </c>
      <c r="N31" s="6">
        <v>0.73846215000000004</v>
      </c>
      <c r="O31" s="6">
        <v>0.73846215000000004</v>
      </c>
    </row>
    <row r="32" spans="1:15" x14ac:dyDescent="0.2">
      <c r="A32">
        <v>0.91099799999999997</v>
      </c>
      <c r="B32" t="s">
        <v>121</v>
      </c>
      <c r="D32" s="3" t="s">
        <v>141</v>
      </c>
      <c r="E32" s="6">
        <v>0.93694024999999992</v>
      </c>
      <c r="F32" s="6">
        <v>0</v>
      </c>
      <c r="G32" s="6">
        <f>_xlfn.XLOOKUP(D32,'[1]avg doc score'!$E:$E,'[1]avg doc score'!$F:$F,0)</f>
        <v>0.93206495</v>
      </c>
      <c r="H32" s="6">
        <f>_xlfn.XLOOKUP(D32,'[2]avg doc score'!$E:$E,'[2]avg doc score'!$F:$F,0)</f>
        <v>0.52339156499999984</v>
      </c>
      <c r="M32" s="3" t="s">
        <v>131</v>
      </c>
      <c r="N32" s="6">
        <v>0.76826452999999995</v>
      </c>
      <c r="O32" s="6">
        <v>0.76826452999999995</v>
      </c>
    </row>
    <row r="33" spans="1:15" x14ac:dyDescent="0.2">
      <c r="A33">
        <v>0.91099799999999997</v>
      </c>
      <c r="B33" t="s">
        <v>121</v>
      </c>
      <c r="D33" s="3" t="s">
        <v>108</v>
      </c>
      <c r="E33" s="4">
        <v>0.51264732240677979</v>
      </c>
      <c r="F33" s="4">
        <v>0.24632067657415488</v>
      </c>
      <c r="G33" s="9">
        <f>AVERAGE(G3:G32)</f>
        <v>0.48999196193883482</v>
      </c>
      <c r="H33" s="9">
        <f>AVERAGE(H3:H32)</f>
        <v>0.48519687959444452</v>
      </c>
      <c r="M33" s="3" t="s">
        <v>108</v>
      </c>
      <c r="N33" s="6">
        <v>0.95696133000000005</v>
      </c>
      <c r="O33" s="6">
        <v>0.10833058</v>
      </c>
    </row>
    <row r="34" spans="1:15" x14ac:dyDescent="0.2">
      <c r="A34">
        <v>0.91099799999999997</v>
      </c>
      <c r="B34" t="s">
        <v>121</v>
      </c>
    </row>
    <row r="35" spans="1:15" x14ac:dyDescent="0.2">
      <c r="A35">
        <v>0.91099799999999997</v>
      </c>
      <c r="B35" t="s">
        <v>121</v>
      </c>
    </row>
    <row r="36" spans="1:15" x14ac:dyDescent="0.2">
      <c r="A36">
        <v>0.91099799999999997</v>
      </c>
      <c r="B36" t="s">
        <v>121</v>
      </c>
      <c r="D36" t="s">
        <v>107</v>
      </c>
      <c r="E36" t="s">
        <v>146</v>
      </c>
      <c r="F36" t="s">
        <v>147</v>
      </c>
      <c r="G36" t="s">
        <v>148</v>
      </c>
    </row>
    <row r="37" spans="1:15" x14ac:dyDescent="0.2">
      <c r="A37">
        <v>0.95696133000000005</v>
      </c>
      <c r="B37" t="s">
        <v>118</v>
      </c>
      <c r="D37" t="s">
        <v>143</v>
      </c>
      <c r="E37">
        <v>0.10837587200000001</v>
      </c>
      <c r="F37">
        <v>0</v>
      </c>
      <c r="G37">
        <v>0.14053692000000001</v>
      </c>
    </row>
    <row r="38" spans="1:15" x14ac:dyDescent="0.2">
      <c r="A38">
        <v>0.95696133000000005</v>
      </c>
      <c r="B38" t="s">
        <v>118</v>
      </c>
      <c r="D38" t="s">
        <v>124</v>
      </c>
      <c r="E38">
        <v>0.72708189999999984</v>
      </c>
      <c r="F38">
        <v>0.72877930000000013</v>
      </c>
      <c r="G38">
        <v>0.73398845000000013</v>
      </c>
    </row>
    <row r="39" spans="1:15" x14ac:dyDescent="0.2">
      <c r="A39">
        <v>0.95696133000000005</v>
      </c>
      <c r="B39" t="s">
        <v>118</v>
      </c>
      <c r="D39" t="s">
        <v>123</v>
      </c>
      <c r="E39">
        <v>0.29333935500000002</v>
      </c>
      <c r="F39">
        <v>0.29217876000000009</v>
      </c>
      <c r="G39">
        <v>0.40059755499999994</v>
      </c>
    </row>
    <row r="40" spans="1:15" x14ac:dyDescent="0.2">
      <c r="A40">
        <v>0.95696133000000005</v>
      </c>
      <c r="B40" t="s">
        <v>118</v>
      </c>
      <c r="D40" t="s">
        <v>116</v>
      </c>
      <c r="E40">
        <v>0.23333798466666669</v>
      </c>
      <c r="F40">
        <v>0.22407173133333333</v>
      </c>
      <c r="G40">
        <v>0.2380918345000001</v>
      </c>
    </row>
    <row r="41" spans="1:15" x14ac:dyDescent="0.2">
      <c r="A41">
        <v>0.95696133000000005</v>
      </c>
      <c r="B41" t="s">
        <v>118</v>
      </c>
      <c r="D41" t="s">
        <v>140</v>
      </c>
      <c r="E41">
        <v>0.71568290000000001</v>
      </c>
      <c r="F41">
        <v>0.70774870000000001</v>
      </c>
      <c r="G41">
        <v>0</v>
      </c>
    </row>
    <row r="42" spans="1:15" x14ac:dyDescent="0.2">
      <c r="A42">
        <v>0.83646140000000002</v>
      </c>
      <c r="B42" t="s">
        <v>122</v>
      </c>
      <c r="D42" t="s">
        <v>118</v>
      </c>
      <c r="E42">
        <v>0.85234225900000005</v>
      </c>
      <c r="F42">
        <v>0.85973333000000007</v>
      </c>
      <c r="G42">
        <v>0.8639597349999999</v>
      </c>
    </row>
    <row r="43" spans="1:15" x14ac:dyDescent="0.2">
      <c r="A43">
        <v>0.83646140000000002</v>
      </c>
      <c r="B43" t="s">
        <v>122</v>
      </c>
      <c r="D43" t="s">
        <v>130</v>
      </c>
      <c r="E43">
        <v>0.24761215</v>
      </c>
      <c r="F43">
        <v>0.22315101999999998</v>
      </c>
      <c r="G43">
        <v>0.24088813749999999</v>
      </c>
    </row>
    <row r="44" spans="1:15" x14ac:dyDescent="0.2">
      <c r="A44">
        <v>0.83646140000000002</v>
      </c>
      <c r="B44" t="s">
        <v>122</v>
      </c>
      <c r="D44" t="s">
        <v>134</v>
      </c>
      <c r="E44">
        <v>0.36283834733333331</v>
      </c>
      <c r="F44">
        <v>0.33245617249999998</v>
      </c>
      <c r="G44">
        <v>0.60251958000000017</v>
      </c>
    </row>
    <row r="45" spans="1:15" x14ac:dyDescent="0.2">
      <c r="A45">
        <v>0.83646140000000002</v>
      </c>
      <c r="B45" t="s">
        <v>122</v>
      </c>
      <c r="D45" t="s">
        <v>138</v>
      </c>
      <c r="E45">
        <v>0.51720569999999999</v>
      </c>
      <c r="F45">
        <v>0.52480930000000003</v>
      </c>
      <c r="G45">
        <v>0.39641916999999999</v>
      </c>
    </row>
    <row r="46" spans="1:15" x14ac:dyDescent="0.2">
      <c r="A46">
        <v>0.83646140000000002</v>
      </c>
      <c r="B46" t="s">
        <v>122</v>
      </c>
      <c r="D46" t="s">
        <v>115</v>
      </c>
      <c r="E46">
        <v>0.42048184333333333</v>
      </c>
      <c r="F46">
        <v>0.35937489250000004</v>
      </c>
      <c r="G46">
        <v>0.44670673666666671</v>
      </c>
    </row>
    <row r="47" spans="1:15" x14ac:dyDescent="0.2">
      <c r="A47">
        <v>0.47022631999999998</v>
      </c>
      <c r="B47" t="s">
        <v>123</v>
      </c>
      <c r="D47" t="s">
        <v>141</v>
      </c>
      <c r="E47">
        <v>0.93694024999999992</v>
      </c>
      <c r="F47">
        <v>0.93206495</v>
      </c>
      <c r="G47">
        <v>0.52339156499999984</v>
      </c>
    </row>
    <row r="48" spans="1:15" x14ac:dyDescent="0.2">
      <c r="A48">
        <v>0.47022631999999998</v>
      </c>
      <c r="B48" t="s">
        <v>123</v>
      </c>
      <c r="D48" t="s">
        <v>129</v>
      </c>
      <c r="E48">
        <v>0.54044422000000003</v>
      </c>
      <c r="F48">
        <v>0</v>
      </c>
      <c r="G48">
        <v>0</v>
      </c>
    </row>
    <row r="49" spans="1:7" x14ac:dyDescent="0.2">
      <c r="A49">
        <v>0.47022631999999998</v>
      </c>
      <c r="B49" t="s">
        <v>123</v>
      </c>
      <c r="D49" t="s">
        <v>139</v>
      </c>
      <c r="E49">
        <v>0.85363259999999985</v>
      </c>
      <c r="F49">
        <v>0.84493459999999998</v>
      </c>
      <c r="G49">
        <v>0.89763280000000001</v>
      </c>
    </row>
    <row r="50" spans="1:7" x14ac:dyDescent="0.2">
      <c r="A50">
        <v>0.47022631999999998</v>
      </c>
      <c r="B50" t="s">
        <v>123</v>
      </c>
      <c r="D50" t="s">
        <v>127</v>
      </c>
      <c r="E50">
        <v>0.46963706599999994</v>
      </c>
      <c r="F50">
        <v>0.4636132</v>
      </c>
      <c r="G50">
        <v>0.40011453249999995</v>
      </c>
    </row>
    <row r="51" spans="1:7" x14ac:dyDescent="0.2">
      <c r="A51">
        <v>0.47022631999999998</v>
      </c>
      <c r="B51" t="s">
        <v>123</v>
      </c>
      <c r="D51" t="s">
        <v>120</v>
      </c>
      <c r="E51">
        <v>0.3752652700000001</v>
      </c>
      <c r="F51">
        <v>0.38487724333333334</v>
      </c>
      <c r="G51">
        <v>0.37355851499999998</v>
      </c>
    </row>
    <row r="52" spans="1:7" x14ac:dyDescent="0.2">
      <c r="A52">
        <v>0.81909920000000003</v>
      </c>
      <c r="B52" t="s">
        <v>124</v>
      </c>
      <c r="D52" t="s">
        <v>137</v>
      </c>
      <c r="E52">
        <v>0.52327754000000004</v>
      </c>
      <c r="F52">
        <v>0.54014781090909103</v>
      </c>
      <c r="G52">
        <v>0.50971825733333342</v>
      </c>
    </row>
    <row r="53" spans="1:7" x14ac:dyDescent="0.2">
      <c r="A53">
        <v>0.81909920000000003</v>
      </c>
      <c r="B53" t="s">
        <v>124</v>
      </c>
      <c r="D53" t="s">
        <v>126</v>
      </c>
      <c r="E53">
        <v>0.32524477800000007</v>
      </c>
      <c r="F53">
        <v>0.30259760000000002</v>
      </c>
      <c r="G53">
        <v>0.33921495000000002</v>
      </c>
    </row>
    <row r="54" spans="1:7" x14ac:dyDescent="0.2">
      <c r="A54">
        <v>0.81909920000000003</v>
      </c>
      <c r="B54" t="s">
        <v>124</v>
      </c>
      <c r="D54" t="s">
        <v>121</v>
      </c>
      <c r="E54">
        <v>0.7187802499999999</v>
      </c>
      <c r="F54">
        <v>0.90672759999999997</v>
      </c>
      <c r="G54">
        <v>0.63463328333333313</v>
      </c>
    </row>
    <row r="55" spans="1:7" x14ac:dyDescent="0.2">
      <c r="A55">
        <v>0.81909920000000003</v>
      </c>
      <c r="B55" t="s">
        <v>124</v>
      </c>
      <c r="D55" t="s">
        <v>117</v>
      </c>
      <c r="E55">
        <v>0.49310513333333322</v>
      </c>
      <c r="F55">
        <v>0.50902492187500004</v>
      </c>
      <c r="G55">
        <v>0.50976659499999999</v>
      </c>
    </row>
    <row r="56" spans="1:7" x14ac:dyDescent="0.2">
      <c r="A56">
        <v>0.81909920000000003</v>
      </c>
      <c r="B56" t="s">
        <v>124</v>
      </c>
      <c r="D56" t="s">
        <v>136</v>
      </c>
      <c r="E56">
        <v>0.17677137000000001</v>
      </c>
      <c r="F56">
        <v>0.17389092</v>
      </c>
      <c r="G56">
        <v>0.15831774000000001</v>
      </c>
    </row>
    <row r="57" spans="1:7" x14ac:dyDescent="0.2">
      <c r="A57">
        <v>0.93694025000000003</v>
      </c>
      <c r="B57" t="s">
        <v>141</v>
      </c>
      <c r="D57" t="s">
        <v>142</v>
      </c>
      <c r="E57">
        <v>0.52897513499999993</v>
      </c>
      <c r="F57">
        <v>0.52498712999999997</v>
      </c>
      <c r="G57">
        <v>0.59891786999999996</v>
      </c>
    </row>
    <row r="58" spans="1:7" x14ac:dyDescent="0.2">
      <c r="A58">
        <v>0.93694025000000003</v>
      </c>
      <c r="B58" t="s">
        <v>141</v>
      </c>
      <c r="D58" t="s">
        <v>122</v>
      </c>
      <c r="E58">
        <v>0.56059696999999986</v>
      </c>
      <c r="F58">
        <v>0.57721637500000011</v>
      </c>
      <c r="G58">
        <v>0.62186232499999983</v>
      </c>
    </row>
    <row r="59" spans="1:7" x14ac:dyDescent="0.2">
      <c r="A59">
        <v>0.93694025000000003</v>
      </c>
      <c r="B59" t="s">
        <v>141</v>
      </c>
      <c r="D59" t="s">
        <v>133</v>
      </c>
      <c r="E59">
        <v>0.68761579999999978</v>
      </c>
      <c r="F59">
        <v>0.68999980666666683</v>
      </c>
      <c r="G59">
        <v>0.66593574999999994</v>
      </c>
    </row>
    <row r="60" spans="1:7" x14ac:dyDescent="0.2">
      <c r="A60">
        <v>0.93694025000000003</v>
      </c>
      <c r="B60" t="s">
        <v>141</v>
      </c>
      <c r="D60" t="s">
        <v>144</v>
      </c>
      <c r="E60">
        <v>0.47241633999999999</v>
      </c>
      <c r="F60">
        <v>0.31280202500000009</v>
      </c>
      <c r="G60">
        <v>0.63443416599999991</v>
      </c>
    </row>
    <row r="61" spans="1:7" x14ac:dyDescent="0.2">
      <c r="A61">
        <v>0.93694025000000003</v>
      </c>
      <c r="B61" t="s">
        <v>141</v>
      </c>
      <c r="D61" t="s">
        <v>119</v>
      </c>
      <c r="E61">
        <v>0.5862057850000002</v>
      </c>
      <c r="F61">
        <v>0.60809920904761883</v>
      </c>
      <c r="G61">
        <v>0.71322715500000045</v>
      </c>
    </row>
    <row r="62" spans="1:7" x14ac:dyDescent="0.2">
      <c r="A62">
        <v>0.73846215000000004</v>
      </c>
      <c r="B62" t="s">
        <v>125</v>
      </c>
      <c r="D62" t="s">
        <v>128</v>
      </c>
      <c r="E62">
        <v>0.86136365000000004</v>
      </c>
      <c r="F62">
        <v>0.86275720000000011</v>
      </c>
      <c r="G62">
        <v>0.88611550000000006</v>
      </c>
    </row>
    <row r="63" spans="1:7" x14ac:dyDescent="0.2">
      <c r="A63">
        <v>0.73846215000000004</v>
      </c>
      <c r="B63" t="s">
        <v>125</v>
      </c>
      <c r="D63" t="s">
        <v>135</v>
      </c>
      <c r="E63">
        <v>0.30744355666666667</v>
      </c>
      <c r="F63">
        <v>0</v>
      </c>
      <c r="G63">
        <v>0</v>
      </c>
    </row>
    <row r="64" spans="1:7" x14ac:dyDescent="0.2">
      <c r="A64">
        <v>0.73846215000000004</v>
      </c>
      <c r="B64" t="s">
        <v>125</v>
      </c>
      <c r="D64" t="s">
        <v>132</v>
      </c>
      <c r="E64">
        <v>0.54412447500000005</v>
      </c>
      <c r="F64">
        <v>0.54474180999999999</v>
      </c>
      <c r="G64">
        <v>0.51829862500000012</v>
      </c>
    </row>
    <row r="65" spans="1:7" x14ac:dyDescent="0.2">
      <c r="A65">
        <v>0.73846215000000004</v>
      </c>
      <c r="B65" t="s">
        <v>125</v>
      </c>
      <c r="D65" t="s">
        <v>125</v>
      </c>
      <c r="E65">
        <v>0.73846215000000004</v>
      </c>
      <c r="F65">
        <v>0.72207695000000005</v>
      </c>
      <c r="G65">
        <v>0.74895920000000005</v>
      </c>
    </row>
    <row r="66" spans="1:7" x14ac:dyDescent="0.2">
      <c r="A66">
        <v>0.73846215000000004</v>
      </c>
      <c r="B66" t="s">
        <v>125</v>
      </c>
      <c r="D66" t="s">
        <v>131</v>
      </c>
      <c r="E66">
        <v>0.76826452999999995</v>
      </c>
      <c r="F66">
        <v>0.5468963</v>
      </c>
      <c r="G66">
        <v>0.75809943999999996</v>
      </c>
    </row>
    <row r="67" spans="1:7" x14ac:dyDescent="0.2">
      <c r="A67">
        <v>0.63506459999999998</v>
      </c>
      <c r="B67" t="s">
        <v>124</v>
      </c>
      <c r="D67" t="s">
        <v>108</v>
      </c>
      <c r="E67">
        <v>0.51264732240677979</v>
      </c>
      <c r="F67">
        <v>0.48999196193883482</v>
      </c>
      <c r="G67">
        <v>0.48519687959444441</v>
      </c>
    </row>
    <row r="68" spans="1:7" x14ac:dyDescent="0.2">
      <c r="A68">
        <v>0.63506459999999998</v>
      </c>
      <c r="B68" t="s">
        <v>124</v>
      </c>
    </row>
    <row r="69" spans="1:7" x14ac:dyDescent="0.2">
      <c r="A69">
        <v>0.63506459999999998</v>
      </c>
      <c r="B69" t="s">
        <v>124</v>
      </c>
    </row>
    <row r="70" spans="1:7" x14ac:dyDescent="0.2">
      <c r="A70">
        <v>0.63506459999999998</v>
      </c>
      <c r="B70" t="s">
        <v>124</v>
      </c>
    </row>
    <row r="71" spans="1:7" x14ac:dyDescent="0.2">
      <c r="A71">
        <v>0.63506459999999998</v>
      </c>
      <c r="B71" t="s">
        <v>124</v>
      </c>
      <c r="D71" t="s">
        <v>107</v>
      </c>
      <c r="E71" t="s">
        <v>146</v>
      </c>
      <c r="F71" t="s">
        <v>147</v>
      </c>
      <c r="G71" t="s">
        <v>148</v>
      </c>
    </row>
    <row r="72" spans="1:7" x14ac:dyDescent="0.2">
      <c r="A72">
        <v>0.33157461999999999</v>
      </c>
      <c r="B72" t="s">
        <v>126</v>
      </c>
      <c r="D72" t="s">
        <v>143</v>
      </c>
      <c r="E72">
        <v>0.10837587200000001</v>
      </c>
      <c r="F72">
        <v>0</v>
      </c>
      <c r="G72">
        <v>0.14053692000000001</v>
      </c>
    </row>
    <row r="73" spans="1:7" x14ac:dyDescent="0.2">
      <c r="A73">
        <v>0.33157461999999999</v>
      </c>
      <c r="B73" t="s">
        <v>126</v>
      </c>
      <c r="D73" t="s">
        <v>136</v>
      </c>
      <c r="E73">
        <v>0.17677137000000001</v>
      </c>
      <c r="F73">
        <v>0.17389092</v>
      </c>
      <c r="G73">
        <v>0.15831774000000001</v>
      </c>
    </row>
    <row r="74" spans="1:7" x14ac:dyDescent="0.2">
      <c r="A74">
        <v>0.33128249999999998</v>
      </c>
      <c r="B74" t="s">
        <v>126</v>
      </c>
      <c r="D74" t="s">
        <v>116</v>
      </c>
      <c r="E74">
        <v>0.23333798466666669</v>
      </c>
      <c r="F74">
        <v>0.22407173133333333</v>
      </c>
      <c r="G74">
        <v>0.2380918345000001</v>
      </c>
    </row>
    <row r="75" spans="1:7" x14ac:dyDescent="0.2">
      <c r="A75">
        <v>0.33157461999999999</v>
      </c>
      <c r="B75" t="s">
        <v>126</v>
      </c>
      <c r="D75" t="s">
        <v>130</v>
      </c>
      <c r="E75">
        <v>0.24761215</v>
      </c>
      <c r="F75">
        <v>0.22315101999999998</v>
      </c>
      <c r="G75">
        <v>0.24088813749999999</v>
      </c>
    </row>
    <row r="76" spans="1:7" x14ac:dyDescent="0.2">
      <c r="A76">
        <v>0.33157461999999999</v>
      </c>
      <c r="B76" t="s">
        <v>126</v>
      </c>
      <c r="D76" t="s">
        <v>123</v>
      </c>
      <c r="E76">
        <v>0.29333935500000002</v>
      </c>
      <c r="F76">
        <v>0.29217876000000009</v>
      </c>
      <c r="G76">
        <v>0.40059755499999994</v>
      </c>
    </row>
    <row r="77" spans="1:7" x14ac:dyDescent="0.2">
      <c r="A77">
        <v>0.13381114999999999</v>
      </c>
      <c r="B77" t="s">
        <v>130</v>
      </c>
      <c r="D77" t="s">
        <v>135</v>
      </c>
      <c r="E77">
        <v>0.30744355666666667</v>
      </c>
      <c r="F77">
        <v>0</v>
      </c>
      <c r="G77">
        <v>0</v>
      </c>
    </row>
    <row r="78" spans="1:7" x14ac:dyDescent="0.2">
      <c r="A78">
        <v>0.13381114999999999</v>
      </c>
      <c r="B78" t="s">
        <v>130</v>
      </c>
      <c r="D78" t="s">
        <v>126</v>
      </c>
      <c r="E78">
        <v>0.32524477800000007</v>
      </c>
      <c r="F78">
        <v>0.30259760000000002</v>
      </c>
      <c r="G78">
        <v>0.33921495000000002</v>
      </c>
    </row>
    <row r="79" spans="1:7" x14ac:dyDescent="0.2">
      <c r="A79">
        <v>0.13381114999999999</v>
      </c>
      <c r="B79" t="s">
        <v>130</v>
      </c>
      <c r="D79" t="s">
        <v>134</v>
      </c>
      <c r="E79">
        <v>0.36283834733333331</v>
      </c>
      <c r="F79">
        <v>0.33245617249999998</v>
      </c>
      <c r="G79">
        <v>0.60251958000000017</v>
      </c>
    </row>
    <row r="80" spans="1:7" x14ac:dyDescent="0.2">
      <c r="A80">
        <v>0.13381114999999999</v>
      </c>
      <c r="B80" t="s">
        <v>130</v>
      </c>
      <c r="D80" t="s">
        <v>120</v>
      </c>
      <c r="E80">
        <v>0.3752652700000001</v>
      </c>
      <c r="F80">
        <v>0.38487724333333334</v>
      </c>
      <c r="G80">
        <v>0.37355851499999998</v>
      </c>
    </row>
    <row r="81" spans="1:7" x14ac:dyDescent="0.2">
      <c r="A81">
        <v>0.13381114999999999</v>
      </c>
      <c r="B81" t="s">
        <v>130</v>
      </c>
      <c r="D81" t="s">
        <v>115</v>
      </c>
      <c r="E81">
        <v>0.42048184333333333</v>
      </c>
      <c r="F81">
        <v>0.35937489250000004</v>
      </c>
      <c r="G81">
        <v>0.44670673666666671</v>
      </c>
    </row>
    <row r="82" spans="1:7" x14ac:dyDescent="0.2">
      <c r="A82">
        <v>0.73505293999999999</v>
      </c>
      <c r="B82" t="s">
        <v>119</v>
      </c>
      <c r="D82" t="s">
        <v>127</v>
      </c>
      <c r="E82">
        <v>0.46963706599999994</v>
      </c>
      <c r="F82">
        <v>0.4636132</v>
      </c>
      <c r="G82">
        <v>0.40011453249999995</v>
      </c>
    </row>
    <row r="83" spans="1:7" x14ac:dyDescent="0.2">
      <c r="A83">
        <v>0.73505293999999999</v>
      </c>
      <c r="B83" t="s">
        <v>119</v>
      </c>
      <c r="D83" t="s">
        <v>144</v>
      </c>
      <c r="E83">
        <v>0.47241633999999999</v>
      </c>
      <c r="F83">
        <v>0.31280202500000009</v>
      </c>
      <c r="G83">
        <v>0.63443416599999991</v>
      </c>
    </row>
    <row r="84" spans="1:7" x14ac:dyDescent="0.2">
      <c r="A84">
        <v>0.73505293999999999</v>
      </c>
      <c r="B84" t="s">
        <v>119</v>
      </c>
      <c r="D84" t="s">
        <v>117</v>
      </c>
      <c r="E84">
        <v>0.49310513333333322</v>
      </c>
      <c r="F84">
        <v>0.50902492187500004</v>
      </c>
      <c r="G84">
        <v>0.50976659499999999</v>
      </c>
    </row>
    <row r="85" spans="1:7" x14ac:dyDescent="0.2">
      <c r="A85">
        <v>0.73505293999999999</v>
      </c>
      <c r="B85" t="s">
        <v>119</v>
      </c>
      <c r="D85" t="s">
        <v>138</v>
      </c>
      <c r="E85">
        <v>0.51720569999999999</v>
      </c>
      <c r="F85">
        <v>0.52480930000000003</v>
      </c>
      <c r="G85">
        <v>0.39641916999999999</v>
      </c>
    </row>
    <row r="86" spans="1:7" x14ac:dyDescent="0.2">
      <c r="A86">
        <v>0.73505293999999999</v>
      </c>
      <c r="B86" t="s">
        <v>119</v>
      </c>
      <c r="D86" t="s">
        <v>137</v>
      </c>
      <c r="E86">
        <v>0.52327754000000004</v>
      </c>
      <c r="F86">
        <v>0.54014781090909103</v>
      </c>
      <c r="G86">
        <v>0.50971825733333342</v>
      </c>
    </row>
    <row r="87" spans="1:7" x14ac:dyDescent="0.2">
      <c r="A87">
        <v>0.52173983999999995</v>
      </c>
      <c r="B87" t="s">
        <v>127</v>
      </c>
      <c r="D87" t="s">
        <v>142</v>
      </c>
      <c r="E87">
        <v>0.52897513499999993</v>
      </c>
      <c r="F87">
        <v>0.52498712999999997</v>
      </c>
      <c r="G87">
        <v>0.59891786999999996</v>
      </c>
    </row>
    <row r="88" spans="1:7" x14ac:dyDescent="0.2">
      <c r="A88">
        <v>0.52173983999999995</v>
      </c>
      <c r="B88" t="s">
        <v>127</v>
      </c>
      <c r="D88" t="s">
        <v>129</v>
      </c>
      <c r="E88">
        <v>0.54044422000000003</v>
      </c>
      <c r="F88">
        <v>0</v>
      </c>
      <c r="G88">
        <v>0</v>
      </c>
    </row>
    <row r="89" spans="1:7" x14ac:dyDescent="0.2">
      <c r="A89">
        <v>0.52203226000000003</v>
      </c>
      <c r="B89" t="s">
        <v>127</v>
      </c>
      <c r="D89" t="s">
        <v>132</v>
      </c>
      <c r="E89">
        <v>0.54412447500000005</v>
      </c>
      <c r="F89">
        <v>0.54474180999999999</v>
      </c>
      <c r="G89">
        <v>0.51829862500000012</v>
      </c>
    </row>
    <row r="90" spans="1:7" x14ac:dyDescent="0.2">
      <c r="A90">
        <v>0.52173983999999995</v>
      </c>
      <c r="B90" t="s">
        <v>127</v>
      </c>
      <c r="D90" t="s">
        <v>122</v>
      </c>
      <c r="E90">
        <v>0.56059696999999986</v>
      </c>
      <c r="F90">
        <v>0.57721637500000011</v>
      </c>
      <c r="G90">
        <v>0.62186232499999983</v>
      </c>
    </row>
    <row r="91" spans="1:7" x14ac:dyDescent="0.2">
      <c r="A91">
        <v>0.52173983999999995</v>
      </c>
      <c r="B91" t="s">
        <v>127</v>
      </c>
      <c r="D91" t="s">
        <v>119</v>
      </c>
      <c r="E91">
        <v>0.5862057850000002</v>
      </c>
      <c r="F91">
        <v>0.60809920904761883</v>
      </c>
      <c r="G91">
        <v>0.71322715500000045</v>
      </c>
    </row>
    <row r="92" spans="1:7" x14ac:dyDescent="0.2">
      <c r="A92">
        <v>0.27390003000000002</v>
      </c>
      <c r="B92" t="s">
        <v>115</v>
      </c>
      <c r="D92" t="s">
        <v>133</v>
      </c>
      <c r="E92">
        <v>0.68761579999999978</v>
      </c>
      <c r="F92">
        <v>0.68999980666666683</v>
      </c>
      <c r="G92">
        <v>0.66593574999999994</v>
      </c>
    </row>
    <row r="93" spans="1:7" x14ac:dyDescent="0.2">
      <c r="A93">
        <v>0.27390003000000002</v>
      </c>
      <c r="B93" t="s">
        <v>115</v>
      </c>
      <c r="D93" t="s">
        <v>140</v>
      </c>
      <c r="E93">
        <v>0.71568290000000001</v>
      </c>
      <c r="F93">
        <v>0.70774870000000001</v>
      </c>
      <c r="G93">
        <v>0</v>
      </c>
    </row>
    <row r="94" spans="1:7" x14ac:dyDescent="0.2">
      <c r="A94">
        <v>0.27390003000000002</v>
      </c>
      <c r="B94" t="s">
        <v>115</v>
      </c>
      <c r="D94" t="s">
        <v>121</v>
      </c>
      <c r="E94">
        <v>0.7187802499999999</v>
      </c>
      <c r="F94">
        <v>0.90672759999999997</v>
      </c>
      <c r="G94">
        <v>0.63463328333333313</v>
      </c>
    </row>
    <row r="95" spans="1:7" x14ac:dyDescent="0.2">
      <c r="A95">
        <v>0.27390003000000002</v>
      </c>
      <c r="B95" t="s">
        <v>115</v>
      </c>
      <c r="D95" t="s">
        <v>124</v>
      </c>
      <c r="E95">
        <v>0.72708189999999984</v>
      </c>
      <c r="F95">
        <v>0.72877930000000013</v>
      </c>
      <c r="G95">
        <v>0.73398845000000013</v>
      </c>
    </row>
    <row r="96" spans="1:7" x14ac:dyDescent="0.2">
      <c r="A96">
        <v>0.27390003000000002</v>
      </c>
      <c r="B96" t="s">
        <v>115</v>
      </c>
      <c r="D96" t="s">
        <v>125</v>
      </c>
      <c r="E96">
        <v>0.73846215000000004</v>
      </c>
      <c r="F96">
        <v>0.72207695000000005</v>
      </c>
      <c r="G96">
        <v>0.74895920000000005</v>
      </c>
    </row>
    <row r="97" spans="1:7" x14ac:dyDescent="0.2">
      <c r="A97">
        <v>0.56027729999999998</v>
      </c>
      <c r="B97" t="s">
        <v>127</v>
      </c>
      <c r="D97" t="s">
        <v>131</v>
      </c>
      <c r="E97">
        <v>0.76826452999999995</v>
      </c>
      <c r="F97">
        <v>0.5468963</v>
      </c>
      <c r="G97">
        <v>0.75809943999999996</v>
      </c>
    </row>
    <row r="98" spans="1:7" x14ac:dyDescent="0.2">
      <c r="A98">
        <v>0.56027729999999998</v>
      </c>
      <c r="B98" t="s">
        <v>127</v>
      </c>
      <c r="D98" t="s">
        <v>118</v>
      </c>
      <c r="E98">
        <v>0.85234225900000005</v>
      </c>
      <c r="F98">
        <v>0.85973333000000007</v>
      </c>
      <c r="G98">
        <v>0.8639597349999999</v>
      </c>
    </row>
    <row r="99" spans="1:7" x14ac:dyDescent="0.2">
      <c r="A99">
        <v>0.56027729999999998</v>
      </c>
      <c r="B99" t="s">
        <v>127</v>
      </c>
      <c r="D99" t="s">
        <v>139</v>
      </c>
      <c r="E99">
        <v>0.85363259999999985</v>
      </c>
      <c r="F99">
        <v>0.84493459999999998</v>
      </c>
      <c r="G99">
        <v>0.89763280000000001</v>
      </c>
    </row>
    <row r="100" spans="1:7" x14ac:dyDescent="0.2">
      <c r="A100">
        <v>0.56027729999999998</v>
      </c>
      <c r="B100" t="s">
        <v>127</v>
      </c>
      <c r="D100" t="s">
        <v>128</v>
      </c>
      <c r="E100">
        <v>0.86136365000000004</v>
      </c>
      <c r="F100">
        <v>0.86275720000000011</v>
      </c>
      <c r="G100">
        <v>0.88611550000000006</v>
      </c>
    </row>
    <row r="101" spans="1:7" x14ac:dyDescent="0.2">
      <c r="A101">
        <v>0.56027729999999998</v>
      </c>
      <c r="B101" t="s">
        <v>127</v>
      </c>
      <c r="D101" t="s">
        <v>141</v>
      </c>
      <c r="E101">
        <v>0.93694024999999992</v>
      </c>
      <c r="F101">
        <v>0.93206495</v>
      </c>
      <c r="G101">
        <v>0.52339156499999984</v>
      </c>
    </row>
    <row r="102" spans="1:7" x14ac:dyDescent="0.2">
      <c r="A102">
        <v>0.86136365000000004</v>
      </c>
      <c r="B102" t="s">
        <v>128</v>
      </c>
      <c r="D102" t="s">
        <v>108</v>
      </c>
      <c r="E102">
        <v>0.51264732240677979</v>
      </c>
      <c r="F102">
        <v>0.48999196193883482</v>
      </c>
      <c r="G102">
        <v>0.48519687959444452</v>
      </c>
    </row>
    <row r="103" spans="1:7" x14ac:dyDescent="0.2">
      <c r="A103">
        <v>0.86136365000000004</v>
      </c>
      <c r="B103" t="s">
        <v>128</v>
      </c>
    </row>
    <row r="104" spans="1:7" x14ac:dyDescent="0.2">
      <c r="A104">
        <v>0.86136365000000004</v>
      </c>
      <c r="B104" t="s">
        <v>128</v>
      </c>
    </row>
    <row r="105" spans="1:7" x14ac:dyDescent="0.2">
      <c r="A105">
        <v>0.86136365000000004</v>
      </c>
      <c r="B105" t="s">
        <v>128</v>
      </c>
    </row>
    <row r="106" spans="1:7" x14ac:dyDescent="0.2">
      <c r="A106">
        <v>0.86136365000000004</v>
      </c>
      <c r="B106" t="s">
        <v>128</v>
      </c>
    </row>
    <row r="107" spans="1:7" x14ac:dyDescent="0.2">
      <c r="A107">
        <v>0.54041510000000004</v>
      </c>
      <c r="B107" t="s">
        <v>129</v>
      </c>
    </row>
    <row r="108" spans="1:7" x14ac:dyDescent="0.2">
      <c r="A108">
        <v>0.54041510000000004</v>
      </c>
      <c r="B108" t="s">
        <v>129</v>
      </c>
    </row>
    <row r="109" spans="1:7" x14ac:dyDescent="0.2">
      <c r="A109">
        <v>0.54041510000000004</v>
      </c>
      <c r="B109" t="s">
        <v>129</v>
      </c>
    </row>
    <row r="110" spans="1:7" x14ac:dyDescent="0.2">
      <c r="A110">
        <v>0.54056070000000001</v>
      </c>
      <c r="B110" t="s">
        <v>129</v>
      </c>
    </row>
    <row r="111" spans="1:7" x14ac:dyDescent="0.2">
      <c r="A111">
        <v>0.54041510000000004</v>
      </c>
      <c r="B111" t="s">
        <v>129</v>
      </c>
    </row>
    <row r="112" spans="1:7" x14ac:dyDescent="0.2">
      <c r="A112">
        <v>0.54695654000000005</v>
      </c>
      <c r="B112" t="s">
        <v>117</v>
      </c>
    </row>
    <row r="113" spans="1:2" x14ac:dyDescent="0.2">
      <c r="A113">
        <v>0.54695654000000005</v>
      </c>
      <c r="B113" t="s">
        <v>117</v>
      </c>
    </row>
    <row r="114" spans="1:2" x14ac:dyDescent="0.2">
      <c r="A114">
        <v>0.54695654000000005</v>
      </c>
      <c r="B114" t="s">
        <v>117</v>
      </c>
    </row>
    <row r="115" spans="1:2" x14ac:dyDescent="0.2">
      <c r="A115">
        <v>0.54695654000000005</v>
      </c>
      <c r="B115" t="s">
        <v>117</v>
      </c>
    </row>
    <row r="116" spans="1:2" x14ac:dyDescent="0.2">
      <c r="A116">
        <v>0.54695654000000005</v>
      </c>
      <c r="B116" t="s">
        <v>117</v>
      </c>
    </row>
    <row r="117" spans="1:2" x14ac:dyDescent="0.2">
      <c r="A117">
        <v>0.36141315000000002</v>
      </c>
      <c r="B117" t="s">
        <v>130</v>
      </c>
    </row>
    <row r="118" spans="1:2" x14ac:dyDescent="0.2">
      <c r="A118">
        <v>0.36141315000000002</v>
      </c>
      <c r="B118" t="s">
        <v>130</v>
      </c>
    </row>
    <row r="119" spans="1:2" x14ac:dyDescent="0.2">
      <c r="A119">
        <v>0.36141315000000002</v>
      </c>
      <c r="B119" t="s">
        <v>130</v>
      </c>
    </row>
    <row r="120" spans="1:2" x14ac:dyDescent="0.2">
      <c r="A120">
        <v>0.36141315000000002</v>
      </c>
      <c r="B120" t="s">
        <v>130</v>
      </c>
    </row>
    <row r="121" spans="1:2" x14ac:dyDescent="0.2">
      <c r="A121">
        <v>0.36141315000000002</v>
      </c>
      <c r="B121" t="s">
        <v>130</v>
      </c>
    </row>
    <row r="122" spans="1:2" x14ac:dyDescent="0.2">
      <c r="A122">
        <v>0.76826452999999995</v>
      </c>
      <c r="B122" t="s">
        <v>131</v>
      </c>
    </row>
    <row r="123" spans="1:2" x14ac:dyDescent="0.2">
      <c r="A123">
        <v>0.76826452999999995</v>
      </c>
      <c r="B123" t="s">
        <v>131</v>
      </c>
    </row>
    <row r="124" spans="1:2" x14ac:dyDescent="0.2">
      <c r="A124">
        <v>0.76826452999999995</v>
      </c>
      <c r="B124" t="s">
        <v>131</v>
      </c>
    </row>
    <row r="125" spans="1:2" x14ac:dyDescent="0.2">
      <c r="A125">
        <v>0.76826452999999995</v>
      </c>
      <c r="B125" t="s">
        <v>131</v>
      </c>
    </row>
    <row r="126" spans="1:2" x14ac:dyDescent="0.2">
      <c r="A126">
        <v>0.76826452999999995</v>
      </c>
      <c r="B126" t="s">
        <v>131</v>
      </c>
    </row>
    <row r="127" spans="1:2" x14ac:dyDescent="0.2">
      <c r="A127">
        <v>0.31897335999999998</v>
      </c>
      <c r="B127" t="s">
        <v>126</v>
      </c>
    </row>
    <row r="128" spans="1:2" x14ac:dyDescent="0.2">
      <c r="A128">
        <v>0.31897335999999998</v>
      </c>
      <c r="B128" t="s">
        <v>126</v>
      </c>
    </row>
    <row r="129" spans="1:2" x14ac:dyDescent="0.2">
      <c r="A129">
        <v>0.31897335999999998</v>
      </c>
      <c r="B129" t="s">
        <v>126</v>
      </c>
    </row>
    <row r="130" spans="1:2" x14ac:dyDescent="0.2">
      <c r="A130">
        <v>0.31897335999999998</v>
      </c>
      <c r="B130" t="s">
        <v>126</v>
      </c>
    </row>
    <row r="131" spans="1:2" x14ac:dyDescent="0.2">
      <c r="A131">
        <v>0.31897335999999998</v>
      </c>
      <c r="B131" t="s">
        <v>126</v>
      </c>
    </row>
    <row r="132" spans="1:2" x14ac:dyDescent="0.2">
      <c r="A132">
        <v>0.52656250000000004</v>
      </c>
      <c r="B132" t="s">
        <v>121</v>
      </c>
    </row>
    <row r="133" spans="1:2" x14ac:dyDescent="0.2">
      <c r="A133">
        <v>0.52656250000000004</v>
      </c>
      <c r="B133" t="s">
        <v>121</v>
      </c>
    </row>
    <row r="134" spans="1:2" x14ac:dyDescent="0.2">
      <c r="A134">
        <v>0.52656250000000004</v>
      </c>
      <c r="B134" t="s">
        <v>121</v>
      </c>
    </row>
    <row r="135" spans="1:2" x14ac:dyDescent="0.2">
      <c r="A135">
        <v>0.52656250000000004</v>
      </c>
      <c r="B135" t="s">
        <v>121</v>
      </c>
    </row>
    <row r="136" spans="1:2" x14ac:dyDescent="0.2">
      <c r="A136">
        <v>0.52656250000000004</v>
      </c>
      <c r="B136" t="s">
        <v>121</v>
      </c>
    </row>
    <row r="137" spans="1:2" x14ac:dyDescent="0.2">
      <c r="A137">
        <v>0.25660416000000003</v>
      </c>
      <c r="B137" t="s">
        <v>116</v>
      </c>
    </row>
    <row r="138" spans="1:2" x14ac:dyDescent="0.2">
      <c r="A138">
        <v>0.25660416000000003</v>
      </c>
      <c r="B138" t="s">
        <v>116</v>
      </c>
    </row>
    <row r="139" spans="1:2" x14ac:dyDescent="0.2">
      <c r="A139">
        <v>0.25660416000000003</v>
      </c>
      <c r="B139" t="s">
        <v>116</v>
      </c>
    </row>
    <row r="140" spans="1:2" x14ac:dyDescent="0.2">
      <c r="A140">
        <v>0.25660416000000003</v>
      </c>
      <c r="B140" t="s">
        <v>116</v>
      </c>
    </row>
    <row r="141" spans="1:2" x14ac:dyDescent="0.2">
      <c r="A141">
        <v>0.25660416000000003</v>
      </c>
      <c r="B141" t="s">
        <v>116</v>
      </c>
    </row>
    <row r="142" spans="1:2" x14ac:dyDescent="0.2">
      <c r="A142">
        <v>0.50388235000000003</v>
      </c>
      <c r="B142" t="s">
        <v>132</v>
      </c>
    </row>
    <row r="143" spans="1:2" x14ac:dyDescent="0.2">
      <c r="A143">
        <v>0.50388235000000003</v>
      </c>
      <c r="B143" t="s">
        <v>132</v>
      </c>
    </row>
    <row r="144" spans="1:2" x14ac:dyDescent="0.2">
      <c r="A144">
        <v>0.50388235000000003</v>
      </c>
      <c r="B144" t="s">
        <v>132</v>
      </c>
    </row>
    <row r="145" spans="1:2" x14ac:dyDescent="0.2">
      <c r="A145">
        <v>0.50388235000000003</v>
      </c>
      <c r="B145" t="s">
        <v>132</v>
      </c>
    </row>
    <row r="146" spans="1:2" x14ac:dyDescent="0.2">
      <c r="A146">
        <v>0.50388235000000003</v>
      </c>
      <c r="B146" t="s">
        <v>132</v>
      </c>
    </row>
    <row r="147" spans="1:2" x14ac:dyDescent="0.2">
      <c r="A147">
        <v>0.48967490000000002</v>
      </c>
      <c r="B147" t="s">
        <v>133</v>
      </c>
    </row>
    <row r="148" spans="1:2" x14ac:dyDescent="0.2">
      <c r="A148">
        <v>0.48967490000000002</v>
      </c>
      <c r="B148" t="s">
        <v>133</v>
      </c>
    </row>
    <row r="149" spans="1:2" x14ac:dyDescent="0.2">
      <c r="A149">
        <v>0.48967490000000002</v>
      </c>
      <c r="B149" t="s">
        <v>133</v>
      </c>
    </row>
    <row r="150" spans="1:2" x14ac:dyDescent="0.2">
      <c r="A150">
        <v>0.48967490000000002</v>
      </c>
      <c r="B150" t="s">
        <v>133</v>
      </c>
    </row>
    <row r="151" spans="1:2" x14ac:dyDescent="0.2">
      <c r="A151">
        <v>0.48967490000000002</v>
      </c>
      <c r="B151" t="s">
        <v>133</v>
      </c>
    </row>
    <row r="152" spans="1:2" x14ac:dyDescent="0.2">
      <c r="A152">
        <v>0.32794856999999999</v>
      </c>
      <c r="B152" t="s">
        <v>142</v>
      </c>
    </row>
    <row r="153" spans="1:2" x14ac:dyDescent="0.2">
      <c r="A153">
        <v>0.32794856999999999</v>
      </c>
      <c r="B153" t="s">
        <v>142</v>
      </c>
    </row>
    <row r="154" spans="1:2" x14ac:dyDescent="0.2">
      <c r="A154">
        <v>0.32794856999999999</v>
      </c>
      <c r="B154" t="s">
        <v>142</v>
      </c>
    </row>
    <row r="155" spans="1:2" x14ac:dyDescent="0.2">
      <c r="A155">
        <v>0.32794856999999999</v>
      </c>
      <c r="B155" t="s">
        <v>142</v>
      </c>
    </row>
    <row r="156" spans="1:2" x14ac:dyDescent="0.2">
      <c r="A156">
        <v>0.32794856999999999</v>
      </c>
      <c r="B156" t="s">
        <v>142</v>
      </c>
    </row>
    <row r="157" spans="1:2" x14ac:dyDescent="0.2">
      <c r="A157">
        <v>0.32875618000000001</v>
      </c>
      <c r="B157" t="s">
        <v>127</v>
      </c>
    </row>
    <row r="158" spans="1:2" x14ac:dyDescent="0.2">
      <c r="A158">
        <v>0.32875618000000001</v>
      </c>
      <c r="B158" t="s">
        <v>127</v>
      </c>
    </row>
    <row r="159" spans="1:2" x14ac:dyDescent="0.2">
      <c r="A159">
        <v>0.32875618000000001</v>
      </c>
      <c r="B159" t="s">
        <v>127</v>
      </c>
    </row>
    <row r="160" spans="1:2" x14ac:dyDescent="0.2">
      <c r="A160">
        <v>0.32875618000000001</v>
      </c>
      <c r="B160" t="s">
        <v>127</v>
      </c>
    </row>
    <row r="161" spans="1:2" x14ac:dyDescent="0.2">
      <c r="A161">
        <v>0.32875618000000001</v>
      </c>
      <c r="B161" t="s">
        <v>127</v>
      </c>
    </row>
    <row r="162" spans="1:2" x14ac:dyDescent="0.2">
      <c r="A162">
        <v>0.19046825000000001</v>
      </c>
      <c r="B162" t="s">
        <v>120</v>
      </c>
    </row>
    <row r="163" spans="1:2" x14ac:dyDescent="0.2">
      <c r="A163">
        <v>0.19046825000000001</v>
      </c>
      <c r="B163" t="s">
        <v>120</v>
      </c>
    </row>
    <row r="164" spans="1:2" x14ac:dyDescent="0.2">
      <c r="A164">
        <v>0.19046825000000001</v>
      </c>
      <c r="B164" t="s">
        <v>120</v>
      </c>
    </row>
    <row r="165" spans="1:2" x14ac:dyDescent="0.2">
      <c r="A165">
        <v>0.19046825000000001</v>
      </c>
      <c r="B165" t="s">
        <v>120</v>
      </c>
    </row>
    <row r="166" spans="1:2" x14ac:dyDescent="0.2">
      <c r="A166">
        <v>0.19046825000000001</v>
      </c>
      <c r="B166" t="s">
        <v>120</v>
      </c>
    </row>
    <row r="167" spans="1:2" x14ac:dyDescent="0.2">
      <c r="A167">
        <v>0.10838719500000001</v>
      </c>
      <c r="B167" t="s">
        <v>143</v>
      </c>
    </row>
    <row r="168" spans="1:2" x14ac:dyDescent="0.2">
      <c r="A168">
        <v>0.10838719500000001</v>
      </c>
      <c r="B168" t="s">
        <v>143</v>
      </c>
    </row>
    <row r="169" spans="1:2" x14ac:dyDescent="0.2">
      <c r="A169">
        <v>0.10833058</v>
      </c>
      <c r="B169" t="s">
        <v>143</v>
      </c>
    </row>
    <row r="170" spans="1:2" x14ac:dyDescent="0.2">
      <c r="A170">
        <v>0.10838719500000001</v>
      </c>
      <c r="B170" t="s">
        <v>143</v>
      </c>
    </row>
    <row r="171" spans="1:2" x14ac:dyDescent="0.2">
      <c r="A171">
        <v>0.10838719500000001</v>
      </c>
      <c r="B171" t="s">
        <v>143</v>
      </c>
    </row>
    <row r="172" spans="1:2" x14ac:dyDescent="0.2">
      <c r="A172">
        <v>0.6894943</v>
      </c>
      <c r="B172" t="s">
        <v>122</v>
      </c>
    </row>
    <row r="173" spans="1:2" x14ac:dyDescent="0.2">
      <c r="A173">
        <v>0.6894943</v>
      </c>
      <c r="B173" t="s">
        <v>122</v>
      </c>
    </row>
    <row r="174" spans="1:2" x14ac:dyDescent="0.2">
      <c r="A174">
        <v>0.6894943</v>
      </c>
      <c r="B174" t="s">
        <v>122</v>
      </c>
    </row>
    <row r="175" spans="1:2" x14ac:dyDescent="0.2">
      <c r="A175">
        <v>0.6894943</v>
      </c>
      <c r="B175" t="s">
        <v>122</v>
      </c>
    </row>
    <row r="176" spans="1:2" x14ac:dyDescent="0.2">
      <c r="A176">
        <v>0.6894943</v>
      </c>
      <c r="B176" t="s">
        <v>122</v>
      </c>
    </row>
    <row r="177" spans="1:2" x14ac:dyDescent="0.2">
      <c r="A177">
        <v>0.33646238000000001</v>
      </c>
      <c r="B177" t="s">
        <v>134</v>
      </c>
    </row>
    <row r="178" spans="1:2" x14ac:dyDescent="0.2">
      <c r="A178">
        <v>0.33646238000000001</v>
      </c>
      <c r="B178" t="s">
        <v>134</v>
      </c>
    </row>
    <row r="179" spans="1:2" x14ac:dyDescent="0.2">
      <c r="A179">
        <v>0.33626620000000002</v>
      </c>
      <c r="B179" t="s">
        <v>134</v>
      </c>
    </row>
    <row r="180" spans="1:2" x14ac:dyDescent="0.2">
      <c r="A180">
        <v>0.33646238000000001</v>
      </c>
      <c r="B180" t="s">
        <v>134</v>
      </c>
    </row>
    <row r="181" spans="1:2" x14ac:dyDescent="0.2">
      <c r="A181">
        <v>0.33646238000000001</v>
      </c>
      <c r="B181" t="s">
        <v>134</v>
      </c>
    </row>
    <row r="182" spans="1:2" x14ac:dyDescent="0.2">
      <c r="A182">
        <v>0.14425758999999999</v>
      </c>
      <c r="B182" t="s">
        <v>135</v>
      </c>
    </row>
    <row r="183" spans="1:2" x14ac:dyDescent="0.2">
      <c r="A183">
        <v>0.14425758999999999</v>
      </c>
      <c r="B183" t="s">
        <v>135</v>
      </c>
    </row>
    <row r="184" spans="1:2" x14ac:dyDescent="0.2">
      <c r="A184">
        <v>0.14425758999999999</v>
      </c>
      <c r="B184" t="s">
        <v>135</v>
      </c>
    </row>
    <row r="185" spans="1:2" x14ac:dyDescent="0.2">
      <c r="A185">
        <v>0.14425758999999999</v>
      </c>
      <c r="B185" t="s">
        <v>135</v>
      </c>
    </row>
    <row r="186" spans="1:2" x14ac:dyDescent="0.2">
      <c r="A186">
        <v>0.17677137000000001</v>
      </c>
      <c r="B186" t="s">
        <v>136</v>
      </c>
    </row>
    <row r="187" spans="1:2" x14ac:dyDescent="0.2">
      <c r="A187">
        <v>0.53181785000000004</v>
      </c>
      <c r="B187" t="s">
        <v>134</v>
      </c>
    </row>
    <row r="188" spans="1:2" x14ac:dyDescent="0.2">
      <c r="A188">
        <v>0.53181785000000004</v>
      </c>
      <c r="B188" t="s">
        <v>134</v>
      </c>
    </row>
    <row r="189" spans="1:2" x14ac:dyDescent="0.2">
      <c r="A189">
        <v>0.53181785000000004</v>
      </c>
      <c r="B189" t="s">
        <v>134</v>
      </c>
    </row>
    <row r="190" spans="1:2" x14ac:dyDescent="0.2">
      <c r="A190">
        <v>0.53181785000000004</v>
      </c>
      <c r="B190" t="s">
        <v>134</v>
      </c>
    </row>
    <row r="191" spans="1:2" x14ac:dyDescent="0.2">
      <c r="A191">
        <v>0.53181785000000004</v>
      </c>
      <c r="B191" t="s">
        <v>134</v>
      </c>
    </row>
    <row r="192" spans="1:2" x14ac:dyDescent="0.2">
      <c r="A192">
        <v>0.85653679999999999</v>
      </c>
      <c r="B192" t="s">
        <v>133</v>
      </c>
    </row>
    <row r="193" spans="1:2" x14ac:dyDescent="0.2">
      <c r="A193">
        <v>0.85653679999999999</v>
      </c>
      <c r="B193" t="s">
        <v>133</v>
      </c>
    </row>
    <row r="194" spans="1:2" x14ac:dyDescent="0.2">
      <c r="A194">
        <v>0.85653679999999999</v>
      </c>
      <c r="B194" t="s">
        <v>133</v>
      </c>
    </row>
    <row r="195" spans="1:2" x14ac:dyDescent="0.2">
      <c r="A195">
        <v>0.85653679999999999</v>
      </c>
      <c r="B195" t="s">
        <v>133</v>
      </c>
    </row>
    <row r="196" spans="1:2" x14ac:dyDescent="0.2">
      <c r="A196">
        <v>0.85653679999999999</v>
      </c>
      <c r="B196" t="s">
        <v>133</v>
      </c>
    </row>
    <row r="197" spans="1:2" x14ac:dyDescent="0.2">
      <c r="A197">
        <v>0.46774563000000002</v>
      </c>
      <c r="B197" t="s">
        <v>127</v>
      </c>
    </row>
    <row r="198" spans="1:2" x14ac:dyDescent="0.2">
      <c r="A198">
        <v>0.46774563000000002</v>
      </c>
      <c r="B198" t="s">
        <v>127</v>
      </c>
    </row>
    <row r="199" spans="1:2" x14ac:dyDescent="0.2">
      <c r="A199">
        <v>0.46774563000000002</v>
      </c>
      <c r="B199" t="s">
        <v>127</v>
      </c>
    </row>
    <row r="200" spans="1:2" x14ac:dyDescent="0.2">
      <c r="A200">
        <v>0.46759978000000002</v>
      </c>
      <c r="B200" t="s">
        <v>127</v>
      </c>
    </row>
    <row r="201" spans="1:2" x14ac:dyDescent="0.2">
      <c r="A201">
        <v>0.46774563000000002</v>
      </c>
      <c r="B201" t="s">
        <v>127</v>
      </c>
    </row>
    <row r="202" spans="1:2" x14ac:dyDescent="0.2">
      <c r="A202">
        <v>0.47840759999999999</v>
      </c>
      <c r="B202" t="s">
        <v>119</v>
      </c>
    </row>
    <row r="203" spans="1:2" x14ac:dyDescent="0.2">
      <c r="A203">
        <v>0.47840759999999999</v>
      </c>
      <c r="B203" t="s">
        <v>119</v>
      </c>
    </row>
    <row r="204" spans="1:2" x14ac:dyDescent="0.2">
      <c r="A204">
        <v>0.47840759999999999</v>
      </c>
      <c r="B204" t="s">
        <v>119</v>
      </c>
    </row>
    <row r="205" spans="1:2" x14ac:dyDescent="0.2">
      <c r="A205">
        <v>0.47840759999999999</v>
      </c>
      <c r="B205" t="s">
        <v>119</v>
      </c>
    </row>
    <row r="206" spans="1:2" x14ac:dyDescent="0.2">
      <c r="A206">
        <v>0.47840759999999999</v>
      </c>
      <c r="B206" t="s">
        <v>119</v>
      </c>
    </row>
    <row r="207" spans="1:2" x14ac:dyDescent="0.2">
      <c r="A207">
        <v>0.2322322</v>
      </c>
      <c r="B207" t="s">
        <v>119</v>
      </c>
    </row>
    <row r="208" spans="1:2" x14ac:dyDescent="0.2">
      <c r="A208">
        <v>0.2322322</v>
      </c>
      <c r="B208" t="s">
        <v>119</v>
      </c>
    </row>
    <row r="209" spans="1:2" x14ac:dyDescent="0.2">
      <c r="A209">
        <v>0.2322322</v>
      </c>
      <c r="B209" t="s">
        <v>119</v>
      </c>
    </row>
    <row r="210" spans="1:2" x14ac:dyDescent="0.2">
      <c r="A210">
        <v>0.2322322</v>
      </c>
      <c r="B210" t="s">
        <v>119</v>
      </c>
    </row>
    <row r="211" spans="1:2" x14ac:dyDescent="0.2">
      <c r="A211">
        <v>0.2322322</v>
      </c>
      <c r="B211" t="s">
        <v>119</v>
      </c>
    </row>
    <row r="212" spans="1:2" x14ac:dyDescent="0.2">
      <c r="A212">
        <v>0.71663569999999999</v>
      </c>
      <c r="B212" t="s">
        <v>133</v>
      </c>
    </row>
    <row r="213" spans="1:2" x14ac:dyDescent="0.2">
      <c r="A213">
        <v>0.71663569999999999</v>
      </c>
      <c r="B213" t="s">
        <v>133</v>
      </c>
    </row>
    <row r="214" spans="1:2" x14ac:dyDescent="0.2">
      <c r="A214">
        <v>0.71663569999999999</v>
      </c>
      <c r="B214" t="s">
        <v>133</v>
      </c>
    </row>
    <row r="215" spans="1:2" x14ac:dyDescent="0.2">
      <c r="A215">
        <v>0.71663569999999999</v>
      </c>
      <c r="B215" t="s">
        <v>133</v>
      </c>
    </row>
    <row r="216" spans="1:2" x14ac:dyDescent="0.2">
      <c r="A216">
        <v>0.71663569999999999</v>
      </c>
      <c r="B216" t="s">
        <v>133</v>
      </c>
    </row>
    <row r="217" spans="1:2" x14ac:dyDescent="0.2">
      <c r="A217">
        <v>0.57121710000000003</v>
      </c>
      <c r="B217" t="s">
        <v>137</v>
      </c>
    </row>
    <row r="218" spans="1:2" x14ac:dyDescent="0.2">
      <c r="A218">
        <v>0.57121710000000003</v>
      </c>
      <c r="B218" t="s">
        <v>137</v>
      </c>
    </row>
    <row r="219" spans="1:2" x14ac:dyDescent="0.2">
      <c r="A219">
        <v>0.57121710000000003</v>
      </c>
      <c r="B219" t="s">
        <v>137</v>
      </c>
    </row>
    <row r="220" spans="1:2" x14ac:dyDescent="0.2">
      <c r="A220">
        <v>0.57121710000000003</v>
      </c>
      <c r="B220" t="s">
        <v>137</v>
      </c>
    </row>
    <row r="221" spans="1:2" x14ac:dyDescent="0.2">
      <c r="A221">
        <v>0.57121710000000003</v>
      </c>
      <c r="B221" t="s">
        <v>137</v>
      </c>
    </row>
    <row r="222" spans="1:2" x14ac:dyDescent="0.2">
      <c r="A222">
        <v>0.21606153</v>
      </c>
      <c r="B222" t="s">
        <v>116</v>
      </c>
    </row>
    <row r="223" spans="1:2" x14ac:dyDescent="0.2">
      <c r="A223">
        <v>0.21606153</v>
      </c>
      <c r="B223" t="s">
        <v>116</v>
      </c>
    </row>
    <row r="224" spans="1:2" x14ac:dyDescent="0.2">
      <c r="A224">
        <v>0.21601190000000001</v>
      </c>
      <c r="B224" t="s">
        <v>116</v>
      </c>
    </row>
    <row r="225" spans="1:2" x14ac:dyDescent="0.2">
      <c r="A225">
        <v>0.21606153</v>
      </c>
      <c r="B225" t="s">
        <v>116</v>
      </c>
    </row>
    <row r="226" spans="1:2" x14ac:dyDescent="0.2">
      <c r="A226">
        <v>0.21606153</v>
      </c>
      <c r="B226" t="s">
        <v>116</v>
      </c>
    </row>
    <row r="227" spans="1:2" x14ac:dyDescent="0.2">
      <c r="A227">
        <v>0.13503831999999999</v>
      </c>
      <c r="B227" t="s">
        <v>117</v>
      </c>
    </row>
    <row r="228" spans="1:2" x14ac:dyDescent="0.2">
      <c r="A228">
        <v>0.13503831999999999</v>
      </c>
      <c r="B228" t="s">
        <v>117</v>
      </c>
    </row>
    <row r="229" spans="1:2" x14ac:dyDescent="0.2">
      <c r="A229">
        <v>0.13503831999999999</v>
      </c>
      <c r="B229" t="s">
        <v>117</v>
      </c>
    </row>
    <row r="230" spans="1:2" x14ac:dyDescent="0.2">
      <c r="A230">
        <v>0.13503831999999999</v>
      </c>
      <c r="B230" t="s">
        <v>117</v>
      </c>
    </row>
    <row r="231" spans="1:2" x14ac:dyDescent="0.2">
      <c r="A231">
        <v>0.13503831999999999</v>
      </c>
      <c r="B231" t="s">
        <v>117</v>
      </c>
    </row>
    <row r="232" spans="1:2" x14ac:dyDescent="0.2">
      <c r="A232">
        <v>0.51720569999999999</v>
      </c>
      <c r="B232" t="s">
        <v>138</v>
      </c>
    </row>
    <row r="233" spans="1:2" x14ac:dyDescent="0.2">
      <c r="A233">
        <v>0.51720569999999999</v>
      </c>
      <c r="B233" t="s">
        <v>138</v>
      </c>
    </row>
    <row r="234" spans="1:2" x14ac:dyDescent="0.2">
      <c r="A234">
        <v>0.51720569999999999</v>
      </c>
      <c r="B234" t="s">
        <v>138</v>
      </c>
    </row>
    <row r="235" spans="1:2" x14ac:dyDescent="0.2">
      <c r="A235">
        <v>0.51720569999999999</v>
      </c>
      <c r="B235" t="s">
        <v>138</v>
      </c>
    </row>
    <row r="236" spans="1:2" x14ac:dyDescent="0.2">
      <c r="A236">
        <v>0.51720569999999999</v>
      </c>
      <c r="B236" t="s">
        <v>138</v>
      </c>
    </row>
    <row r="237" spans="1:2" x14ac:dyDescent="0.2">
      <c r="A237">
        <v>0.85363259999999996</v>
      </c>
      <c r="B237" t="s">
        <v>139</v>
      </c>
    </row>
    <row r="238" spans="1:2" x14ac:dyDescent="0.2">
      <c r="A238">
        <v>0.85363259999999996</v>
      </c>
      <c r="B238" t="s">
        <v>139</v>
      </c>
    </row>
    <row r="239" spans="1:2" x14ac:dyDescent="0.2">
      <c r="A239">
        <v>0.85363259999999996</v>
      </c>
      <c r="B239" t="s">
        <v>139</v>
      </c>
    </row>
    <row r="240" spans="1:2" x14ac:dyDescent="0.2">
      <c r="A240">
        <v>0.85363259999999996</v>
      </c>
      <c r="B240" t="s">
        <v>139</v>
      </c>
    </row>
    <row r="241" spans="1:2" x14ac:dyDescent="0.2">
      <c r="A241">
        <v>0.85363259999999996</v>
      </c>
      <c r="B241" t="s">
        <v>139</v>
      </c>
    </row>
    <row r="242" spans="1:2" x14ac:dyDescent="0.2">
      <c r="A242">
        <v>0.22025895000000001</v>
      </c>
      <c r="B242" t="s">
        <v>134</v>
      </c>
    </row>
    <row r="243" spans="1:2" x14ac:dyDescent="0.2">
      <c r="A243">
        <v>0.22025895000000001</v>
      </c>
      <c r="B243" t="s">
        <v>134</v>
      </c>
    </row>
    <row r="244" spans="1:2" x14ac:dyDescent="0.2">
      <c r="A244">
        <v>0.22025895000000001</v>
      </c>
      <c r="B244" t="s">
        <v>134</v>
      </c>
    </row>
    <row r="245" spans="1:2" x14ac:dyDescent="0.2">
      <c r="A245">
        <v>0.22033443999999999</v>
      </c>
      <c r="B245" t="s">
        <v>134</v>
      </c>
    </row>
    <row r="246" spans="1:2" x14ac:dyDescent="0.2">
      <c r="A246">
        <v>0.22025895000000001</v>
      </c>
      <c r="B246" t="s">
        <v>134</v>
      </c>
    </row>
    <row r="247" spans="1:2" x14ac:dyDescent="0.2">
      <c r="A247">
        <v>0.47533797999999999</v>
      </c>
      <c r="B247" t="s">
        <v>137</v>
      </c>
    </row>
    <row r="248" spans="1:2" x14ac:dyDescent="0.2">
      <c r="A248">
        <v>0.47533797999999999</v>
      </c>
      <c r="B248" t="s">
        <v>137</v>
      </c>
    </row>
    <row r="249" spans="1:2" x14ac:dyDescent="0.2">
      <c r="A249">
        <v>0.47533797999999999</v>
      </c>
      <c r="B249" t="s">
        <v>137</v>
      </c>
    </row>
    <row r="250" spans="1:2" x14ac:dyDescent="0.2">
      <c r="A250">
        <v>0.47533797999999999</v>
      </c>
      <c r="B250" t="s">
        <v>137</v>
      </c>
    </row>
    <row r="251" spans="1:2" x14ac:dyDescent="0.2">
      <c r="A251">
        <v>0.47533797999999999</v>
      </c>
      <c r="B251" t="s">
        <v>137</v>
      </c>
    </row>
    <row r="252" spans="1:2" x14ac:dyDescent="0.2">
      <c r="A252">
        <v>0.15583521</v>
      </c>
      <c r="B252" t="s">
        <v>122</v>
      </c>
    </row>
    <row r="253" spans="1:2" x14ac:dyDescent="0.2">
      <c r="A253">
        <v>0.15583521</v>
      </c>
      <c r="B253" t="s">
        <v>122</v>
      </c>
    </row>
    <row r="254" spans="1:2" x14ac:dyDescent="0.2">
      <c r="A254">
        <v>0.15583521</v>
      </c>
      <c r="B254" t="s">
        <v>122</v>
      </c>
    </row>
    <row r="255" spans="1:2" x14ac:dyDescent="0.2">
      <c r="A255">
        <v>0.15583521</v>
      </c>
      <c r="B255" t="s">
        <v>122</v>
      </c>
    </row>
    <row r="256" spans="1:2" x14ac:dyDescent="0.2">
      <c r="A256">
        <v>0.15583521</v>
      </c>
      <c r="B256" t="s">
        <v>122</v>
      </c>
    </row>
    <row r="257" spans="1:2" x14ac:dyDescent="0.2">
      <c r="A257">
        <v>0.71568290000000001</v>
      </c>
      <c r="B257" t="s">
        <v>140</v>
      </c>
    </row>
    <row r="258" spans="1:2" x14ac:dyDescent="0.2">
      <c r="A258">
        <v>0.71568290000000001</v>
      </c>
      <c r="B258" t="s">
        <v>140</v>
      </c>
    </row>
    <row r="259" spans="1:2" x14ac:dyDescent="0.2">
      <c r="A259">
        <v>0.71568290000000001</v>
      </c>
      <c r="B259" t="s">
        <v>140</v>
      </c>
    </row>
    <row r="260" spans="1:2" x14ac:dyDescent="0.2">
      <c r="A260">
        <v>0.71568290000000001</v>
      </c>
      <c r="B260" t="s">
        <v>140</v>
      </c>
    </row>
    <row r="261" spans="1:2" x14ac:dyDescent="0.2">
      <c r="A261">
        <v>0.71568290000000001</v>
      </c>
      <c r="B261" t="s">
        <v>140</v>
      </c>
    </row>
    <row r="262" spans="1:2" x14ac:dyDescent="0.2">
      <c r="A262">
        <v>0.43799232999999999</v>
      </c>
      <c r="B262" t="s">
        <v>135</v>
      </c>
    </row>
    <row r="263" spans="1:2" x14ac:dyDescent="0.2">
      <c r="A263">
        <v>0.43799232999999999</v>
      </c>
      <c r="B263" t="s">
        <v>135</v>
      </c>
    </row>
    <row r="264" spans="1:2" x14ac:dyDescent="0.2">
      <c r="A264">
        <v>0.43799232999999999</v>
      </c>
      <c r="B264" t="s">
        <v>135</v>
      </c>
    </row>
    <row r="265" spans="1:2" x14ac:dyDescent="0.2">
      <c r="A265">
        <v>0.43799232999999999</v>
      </c>
      <c r="B265" t="s">
        <v>135</v>
      </c>
    </row>
    <row r="266" spans="1:2" x14ac:dyDescent="0.2">
      <c r="A266">
        <v>0.43799232999999999</v>
      </c>
      <c r="B266" t="s">
        <v>135</v>
      </c>
    </row>
    <row r="267" spans="1:2" x14ac:dyDescent="0.2">
      <c r="A267">
        <v>0.19438346000000001</v>
      </c>
      <c r="B267" t="s">
        <v>120</v>
      </c>
    </row>
    <row r="268" spans="1:2" x14ac:dyDescent="0.2">
      <c r="A268">
        <v>0.19438346000000001</v>
      </c>
      <c r="B268" t="s">
        <v>120</v>
      </c>
    </row>
    <row r="269" spans="1:2" x14ac:dyDescent="0.2">
      <c r="A269">
        <v>0.19438346000000001</v>
      </c>
      <c r="B269" t="s">
        <v>120</v>
      </c>
    </row>
    <row r="270" spans="1:2" x14ac:dyDescent="0.2">
      <c r="A270">
        <v>0.19438346000000001</v>
      </c>
      <c r="B270" t="s">
        <v>120</v>
      </c>
    </row>
    <row r="271" spans="1:2" x14ac:dyDescent="0.2">
      <c r="A271">
        <v>0.19438346000000001</v>
      </c>
      <c r="B271" t="s">
        <v>120</v>
      </c>
    </row>
    <row r="272" spans="1:2" x14ac:dyDescent="0.2">
      <c r="A272">
        <v>0.11645239</v>
      </c>
      <c r="B272" t="s">
        <v>123</v>
      </c>
    </row>
    <row r="273" spans="1:2" x14ac:dyDescent="0.2">
      <c r="A273">
        <v>0.11645239</v>
      </c>
      <c r="B273" t="s">
        <v>123</v>
      </c>
    </row>
    <row r="274" spans="1:2" x14ac:dyDescent="0.2">
      <c r="A274">
        <v>0.11645239</v>
      </c>
      <c r="B274" t="s">
        <v>123</v>
      </c>
    </row>
    <row r="275" spans="1:2" x14ac:dyDescent="0.2">
      <c r="A275">
        <v>0.11645239</v>
      </c>
      <c r="B275" t="s">
        <v>123</v>
      </c>
    </row>
    <row r="276" spans="1:2" x14ac:dyDescent="0.2">
      <c r="A276">
        <v>0.11645239</v>
      </c>
      <c r="B276" t="s">
        <v>123</v>
      </c>
    </row>
    <row r="277" spans="1:2" x14ac:dyDescent="0.2">
      <c r="A277">
        <v>0.33554729999999999</v>
      </c>
      <c r="B277" t="s">
        <v>115</v>
      </c>
    </row>
    <row r="278" spans="1:2" x14ac:dyDescent="0.2">
      <c r="A278">
        <v>0.33554729999999999</v>
      </c>
      <c r="B278" t="s">
        <v>115</v>
      </c>
    </row>
    <row r="279" spans="1:2" x14ac:dyDescent="0.2">
      <c r="A279">
        <v>0.33554729999999999</v>
      </c>
      <c r="B279" t="s">
        <v>115</v>
      </c>
    </row>
    <row r="280" spans="1:2" x14ac:dyDescent="0.2">
      <c r="A280">
        <v>0.33554729999999999</v>
      </c>
      <c r="B280" t="s">
        <v>115</v>
      </c>
    </row>
    <row r="281" spans="1:2" x14ac:dyDescent="0.2">
      <c r="A281">
        <v>0.33554729999999999</v>
      </c>
      <c r="B281" t="s">
        <v>115</v>
      </c>
    </row>
    <row r="282" spans="1:2" x14ac:dyDescent="0.2">
      <c r="A282">
        <v>0.73000169999999998</v>
      </c>
      <c r="B282" t="s">
        <v>142</v>
      </c>
    </row>
    <row r="283" spans="1:2" x14ac:dyDescent="0.2">
      <c r="A283">
        <v>0.73000169999999998</v>
      </c>
      <c r="B283" t="s">
        <v>142</v>
      </c>
    </row>
    <row r="284" spans="1:2" x14ac:dyDescent="0.2">
      <c r="A284">
        <v>0.73000169999999998</v>
      </c>
      <c r="B284" t="s">
        <v>142</v>
      </c>
    </row>
    <row r="285" spans="1:2" x14ac:dyDescent="0.2">
      <c r="A285">
        <v>0.73000169999999998</v>
      </c>
      <c r="B285" t="s">
        <v>142</v>
      </c>
    </row>
    <row r="286" spans="1:2" x14ac:dyDescent="0.2">
      <c r="A286">
        <v>0.73000169999999998</v>
      </c>
      <c r="B286" t="s">
        <v>142</v>
      </c>
    </row>
    <row r="287" spans="1:2" x14ac:dyDescent="0.2">
      <c r="A287">
        <v>0.47241633999999999</v>
      </c>
      <c r="B287" t="s">
        <v>144</v>
      </c>
    </row>
    <row r="288" spans="1:2" x14ac:dyDescent="0.2">
      <c r="A288">
        <v>0.47241633999999999</v>
      </c>
      <c r="B288" t="s">
        <v>144</v>
      </c>
    </row>
    <row r="289" spans="1:2" x14ac:dyDescent="0.2">
      <c r="A289">
        <v>0.47241633999999999</v>
      </c>
      <c r="B289" t="s">
        <v>144</v>
      </c>
    </row>
    <row r="290" spans="1:2" x14ac:dyDescent="0.2">
      <c r="A290">
        <v>0.47241633999999999</v>
      </c>
      <c r="B290" t="s">
        <v>144</v>
      </c>
    </row>
    <row r="291" spans="1:2" x14ac:dyDescent="0.2">
      <c r="A291">
        <v>0.47241633999999999</v>
      </c>
      <c r="B291" t="s">
        <v>144</v>
      </c>
    </row>
    <row r="292" spans="1:2" x14ac:dyDescent="0.2">
      <c r="A292">
        <v>0.58436659999999996</v>
      </c>
      <c r="B292" t="s">
        <v>132</v>
      </c>
    </row>
    <row r="293" spans="1:2" x14ac:dyDescent="0.2">
      <c r="A293">
        <v>0.58436659999999996</v>
      </c>
      <c r="B293" t="s">
        <v>132</v>
      </c>
    </row>
    <row r="294" spans="1:2" x14ac:dyDescent="0.2">
      <c r="A294">
        <v>0.58436659999999996</v>
      </c>
      <c r="B294" t="s">
        <v>132</v>
      </c>
    </row>
    <row r="295" spans="1:2" x14ac:dyDescent="0.2">
      <c r="A295">
        <v>0.58436659999999996</v>
      </c>
      <c r="B295" t="s">
        <v>132</v>
      </c>
    </row>
    <row r="296" spans="1:2" x14ac:dyDescent="0.2">
      <c r="A296">
        <v>0.58436659999999996</v>
      </c>
      <c r="B296" t="s">
        <v>132</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avg scores</vt:lpstr>
      <vt:lpstr>precision</vt:lpstr>
      <vt:lpstr>raw data</vt:lpstr>
      <vt:lpstr>avg doc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2025-09-14T14:24:14Z</dcterms:created>
  <dcterms:modified xsi:type="dcterms:W3CDTF">2025-09-17T12:35:03Z</dcterms:modified>
</cp:coreProperties>
</file>